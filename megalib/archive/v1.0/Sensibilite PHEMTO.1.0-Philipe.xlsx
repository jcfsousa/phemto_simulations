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personnel\documents\manips\PHEMTO\M8\"/>
    </mc:Choice>
  </mc:AlternateContent>
  <bookViews>
    <workbookView xWindow="1800" yWindow="960" windowWidth="21720" windowHeight="13620" tabRatio="721" activeTab="1"/>
  </bookViews>
  <sheets>
    <sheet name="Calculs mirroir" sheetId="1" r:id="rId1"/>
    <sheet name="Calculs lentille" sheetId="4" r:id="rId2"/>
    <sheet name="MDP" sheetId="5" r:id="rId3"/>
    <sheet name="notes" sheetId="3" r:id="rId4"/>
    <sheet name="bruit interne" sheetId="2" r:id="rId5"/>
  </sheets>
  <calcPr calcId="162913"/>
</workbook>
</file>

<file path=xl/calcChain.xml><?xml version="1.0" encoding="utf-8"?>
<calcChain xmlns="http://schemas.openxmlformats.org/spreadsheetml/2006/main">
  <c r="P19" i="1" l="1"/>
  <c r="P18" i="1"/>
  <c r="P17" i="1"/>
  <c r="M19" i="1"/>
  <c r="K19" i="1"/>
  <c r="L19" i="1" s="1"/>
  <c r="N19" i="1" s="1"/>
  <c r="O19" i="1" s="1"/>
  <c r="J19" i="1"/>
  <c r="G19" i="1"/>
  <c r="F19" i="1"/>
  <c r="M18" i="1"/>
  <c r="K18" i="1"/>
  <c r="L18" i="1" s="1"/>
  <c r="N18" i="1" s="1"/>
  <c r="O18" i="1" s="1"/>
  <c r="J18" i="1"/>
  <c r="G18" i="1"/>
  <c r="F18" i="1"/>
  <c r="M17" i="1"/>
  <c r="K17" i="1"/>
  <c r="L17" i="1" s="1"/>
  <c r="N17" i="1" s="1"/>
  <c r="O17" i="1" s="1"/>
  <c r="J17" i="1"/>
  <c r="G17" i="1"/>
  <c r="F17" i="1"/>
  <c r="R12" i="5" l="1"/>
  <c r="R11" i="5"/>
  <c r="Q11" i="5"/>
  <c r="M25" i="5"/>
  <c r="M26" i="5"/>
  <c r="K17" i="5"/>
  <c r="K18" i="5"/>
  <c r="K19" i="5"/>
  <c r="K20" i="5"/>
  <c r="K21" i="5"/>
  <c r="K22" i="5"/>
  <c r="K23" i="5"/>
  <c r="K24" i="5"/>
  <c r="K25" i="5"/>
  <c r="K26" i="5"/>
  <c r="K27" i="5"/>
  <c r="J17" i="5"/>
  <c r="M17" i="5" s="1"/>
  <c r="J18" i="5"/>
  <c r="M18" i="5" s="1"/>
  <c r="J19" i="5"/>
  <c r="M19" i="5" s="1"/>
  <c r="J20" i="5"/>
  <c r="M20" i="5" s="1"/>
  <c r="J21" i="5"/>
  <c r="M21" i="5" s="1"/>
  <c r="J22" i="5"/>
  <c r="M22" i="5" s="1"/>
  <c r="J23" i="5"/>
  <c r="M23" i="5" s="1"/>
  <c r="J24" i="5"/>
  <c r="M24" i="5" s="1"/>
  <c r="J25" i="5"/>
  <c r="J26" i="5"/>
  <c r="I17" i="5"/>
  <c r="I18" i="5"/>
  <c r="I19" i="5"/>
  <c r="I20" i="5"/>
  <c r="I21" i="5"/>
  <c r="I22" i="5"/>
  <c r="I23" i="5"/>
  <c r="I24" i="5"/>
  <c r="I25" i="5"/>
  <c r="I26" i="5"/>
  <c r="H17" i="5"/>
  <c r="H18" i="5"/>
  <c r="H19" i="5"/>
  <c r="H20" i="5"/>
  <c r="H21" i="5"/>
  <c r="H22" i="5"/>
  <c r="H23" i="5"/>
  <c r="H24" i="5"/>
  <c r="H25" i="5"/>
  <c r="H26" i="5"/>
  <c r="F17" i="5"/>
  <c r="F18" i="5"/>
  <c r="F19" i="5"/>
  <c r="F20" i="5"/>
  <c r="F21" i="5"/>
  <c r="F22" i="5"/>
  <c r="F23" i="5"/>
  <c r="F24" i="5"/>
  <c r="F25" i="5"/>
  <c r="F26" i="5"/>
  <c r="G16" i="4"/>
  <c r="L16" i="4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20" i="1"/>
  <c r="G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20" i="1"/>
  <c r="J27" i="5"/>
  <c r="Q12" i="5"/>
  <c r="M27" i="5"/>
  <c r="J115" i="4"/>
  <c r="G115" i="4"/>
  <c r="L115" i="4" s="1"/>
  <c r="F115" i="4"/>
  <c r="J114" i="4"/>
  <c r="G114" i="4"/>
  <c r="L114" i="4" s="1"/>
  <c r="F114" i="4"/>
  <c r="J113" i="4"/>
  <c r="G113" i="4"/>
  <c r="L113" i="4" s="1"/>
  <c r="F113" i="4"/>
  <c r="J112" i="4"/>
  <c r="G112" i="4"/>
  <c r="L112" i="4" s="1"/>
  <c r="F112" i="4"/>
  <c r="J111" i="4"/>
  <c r="G111" i="4"/>
  <c r="L111" i="4" s="1"/>
  <c r="F111" i="4"/>
  <c r="J110" i="4"/>
  <c r="G110" i="4"/>
  <c r="L110" i="4" s="1"/>
  <c r="F110" i="4"/>
  <c r="J109" i="4"/>
  <c r="G109" i="4"/>
  <c r="L109" i="4" s="1"/>
  <c r="F109" i="4"/>
  <c r="J108" i="4"/>
  <c r="G108" i="4"/>
  <c r="L108" i="4" s="1"/>
  <c r="F108" i="4"/>
  <c r="J107" i="4"/>
  <c r="G107" i="4"/>
  <c r="L107" i="4" s="1"/>
  <c r="F107" i="4"/>
  <c r="J106" i="4"/>
  <c r="G106" i="4"/>
  <c r="L106" i="4" s="1"/>
  <c r="F106" i="4"/>
  <c r="J105" i="4"/>
  <c r="G105" i="4"/>
  <c r="L105" i="4" s="1"/>
  <c r="F105" i="4"/>
  <c r="J104" i="4"/>
  <c r="G104" i="4"/>
  <c r="L104" i="4" s="1"/>
  <c r="F104" i="4"/>
  <c r="J103" i="4"/>
  <c r="G103" i="4"/>
  <c r="L103" i="4" s="1"/>
  <c r="F103" i="4"/>
  <c r="J102" i="4"/>
  <c r="G102" i="4"/>
  <c r="L102" i="4" s="1"/>
  <c r="F102" i="4"/>
  <c r="J101" i="4"/>
  <c r="G101" i="4"/>
  <c r="L101" i="4" s="1"/>
  <c r="F101" i="4"/>
  <c r="J100" i="4"/>
  <c r="G100" i="4"/>
  <c r="L100" i="4" s="1"/>
  <c r="F100" i="4"/>
  <c r="J99" i="4"/>
  <c r="G99" i="4"/>
  <c r="L99" i="4" s="1"/>
  <c r="F99" i="4"/>
  <c r="J98" i="4"/>
  <c r="G98" i="4"/>
  <c r="L98" i="4" s="1"/>
  <c r="F98" i="4"/>
  <c r="J97" i="4"/>
  <c r="G97" i="4"/>
  <c r="L97" i="4" s="1"/>
  <c r="F97" i="4"/>
  <c r="J96" i="4"/>
  <c r="G96" i="4"/>
  <c r="L96" i="4" s="1"/>
  <c r="F96" i="4"/>
  <c r="J95" i="4"/>
  <c r="G95" i="4"/>
  <c r="L95" i="4" s="1"/>
  <c r="F95" i="4"/>
  <c r="J94" i="4"/>
  <c r="G94" i="4"/>
  <c r="L94" i="4" s="1"/>
  <c r="F94" i="4"/>
  <c r="J93" i="4"/>
  <c r="G93" i="4"/>
  <c r="L93" i="4" s="1"/>
  <c r="F93" i="4"/>
  <c r="J92" i="4"/>
  <c r="G92" i="4"/>
  <c r="L92" i="4" s="1"/>
  <c r="F92" i="4"/>
  <c r="J91" i="4"/>
  <c r="G91" i="4"/>
  <c r="L91" i="4" s="1"/>
  <c r="F91" i="4"/>
  <c r="J90" i="4"/>
  <c r="G90" i="4"/>
  <c r="L90" i="4" s="1"/>
  <c r="F90" i="4"/>
  <c r="J89" i="4"/>
  <c r="G89" i="4"/>
  <c r="L89" i="4" s="1"/>
  <c r="F89" i="4"/>
  <c r="J88" i="4"/>
  <c r="G88" i="4"/>
  <c r="L88" i="4" s="1"/>
  <c r="F88" i="4"/>
  <c r="J87" i="4"/>
  <c r="G87" i="4"/>
  <c r="L87" i="4" s="1"/>
  <c r="F87" i="4"/>
  <c r="J86" i="4"/>
  <c r="G86" i="4"/>
  <c r="L86" i="4" s="1"/>
  <c r="F86" i="4"/>
  <c r="J85" i="4"/>
  <c r="G85" i="4"/>
  <c r="L85" i="4" s="1"/>
  <c r="F85" i="4"/>
  <c r="J84" i="4"/>
  <c r="G84" i="4"/>
  <c r="L84" i="4" s="1"/>
  <c r="F84" i="4"/>
  <c r="J83" i="4"/>
  <c r="G83" i="4"/>
  <c r="L83" i="4" s="1"/>
  <c r="F83" i="4"/>
  <c r="J82" i="4"/>
  <c r="G82" i="4"/>
  <c r="L82" i="4" s="1"/>
  <c r="F82" i="4"/>
  <c r="J81" i="4"/>
  <c r="G81" i="4"/>
  <c r="L81" i="4" s="1"/>
  <c r="F81" i="4"/>
  <c r="J80" i="4"/>
  <c r="G80" i="4"/>
  <c r="L80" i="4" s="1"/>
  <c r="F80" i="4"/>
  <c r="J79" i="4"/>
  <c r="G79" i="4"/>
  <c r="L79" i="4" s="1"/>
  <c r="F79" i="4"/>
  <c r="J78" i="4"/>
  <c r="G78" i="4"/>
  <c r="L78" i="4" s="1"/>
  <c r="F78" i="4"/>
  <c r="J77" i="4"/>
  <c r="G77" i="4"/>
  <c r="L77" i="4" s="1"/>
  <c r="F77" i="4"/>
  <c r="J76" i="4"/>
  <c r="G76" i="4"/>
  <c r="L76" i="4" s="1"/>
  <c r="F76" i="4"/>
  <c r="J75" i="4"/>
  <c r="G75" i="4"/>
  <c r="L75" i="4" s="1"/>
  <c r="F75" i="4"/>
  <c r="J74" i="4"/>
  <c r="G74" i="4"/>
  <c r="L74" i="4" s="1"/>
  <c r="F74" i="4"/>
  <c r="J73" i="4"/>
  <c r="G73" i="4"/>
  <c r="L73" i="4" s="1"/>
  <c r="F73" i="4"/>
  <c r="J72" i="4"/>
  <c r="G72" i="4"/>
  <c r="L72" i="4" s="1"/>
  <c r="F72" i="4"/>
  <c r="J71" i="4"/>
  <c r="G71" i="4"/>
  <c r="L71" i="4" s="1"/>
  <c r="F71" i="4"/>
  <c r="J70" i="4"/>
  <c r="G70" i="4"/>
  <c r="L70" i="4" s="1"/>
  <c r="F70" i="4"/>
  <c r="J69" i="4"/>
  <c r="G69" i="4"/>
  <c r="L69" i="4" s="1"/>
  <c r="F69" i="4"/>
  <c r="J68" i="4"/>
  <c r="G68" i="4"/>
  <c r="L68" i="4" s="1"/>
  <c r="F68" i="4"/>
  <c r="J67" i="4"/>
  <c r="G67" i="4"/>
  <c r="L67" i="4" s="1"/>
  <c r="F67" i="4"/>
  <c r="J66" i="4"/>
  <c r="G66" i="4"/>
  <c r="L66" i="4" s="1"/>
  <c r="F66" i="4"/>
  <c r="J65" i="4"/>
  <c r="G65" i="4"/>
  <c r="L65" i="4" s="1"/>
  <c r="F65" i="4"/>
  <c r="J64" i="4"/>
  <c r="G64" i="4"/>
  <c r="L64" i="4" s="1"/>
  <c r="F64" i="4"/>
  <c r="J63" i="4"/>
  <c r="G63" i="4"/>
  <c r="L63" i="4" s="1"/>
  <c r="F63" i="4"/>
  <c r="J62" i="4"/>
  <c r="G62" i="4"/>
  <c r="L62" i="4" s="1"/>
  <c r="F62" i="4"/>
  <c r="J61" i="4"/>
  <c r="G61" i="4"/>
  <c r="L61" i="4" s="1"/>
  <c r="F61" i="4"/>
  <c r="J60" i="4"/>
  <c r="G60" i="4"/>
  <c r="L60" i="4" s="1"/>
  <c r="F60" i="4"/>
  <c r="J59" i="4"/>
  <c r="G59" i="4"/>
  <c r="L59" i="4" s="1"/>
  <c r="F59" i="4"/>
  <c r="J58" i="4"/>
  <c r="G58" i="4"/>
  <c r="L58" i="4" s="1"/>
  <c r="F58" i="4"/>
  <c r="J57" i="4"/>
  <c r="G57" i="4"/>
  <c r="L57" i="4" s="1"/>
  <c r="F57" i="4"/>
  <c r="J56" i="4"/>
  <c r="G56" i="4"/>
  <c r="L56" i="4" s="1"/>
  <c r="F56" i="4"/>
  <c r="J55" i="4"/>
  <c r="G55" i="4"/>
  <c r="L55" i="4" s="1"/>
  <c r="F55" i="4"/>
  <c r="J54" i="4"/>
  <c r="G54" i="4"/>
  <c r="L54" i="4" s="1"/>
  <c r="F54" i="4"/>
  <c r="J53" i="4"/>
  <c r="G53" i="4"/>
  <c r="L53" i="4" s="1"/>
  <c r="F53" i="4"/>
  <c r="J52" i="4"/>
  <c r="G52" i="4"/>
  <c r="L52" i="4" s="1"/>
  <c r="F52" i="4"/>
  <c r="J51" i="4"/>
  <c r="G51" i="4"/>
  <c r="L51" i="4" s="1"/>
  <c r="F51" i="4"/>
  <c r="J50" i="4"/>
  <c r="G50" i="4"/>
  <c r="L50" i="4" s="1"/>
  <c r="F50" i="4"/>
  <c r="J49" i="4"/>
  <c r="G49" i="4"/>
  <c r="L49" i="4" s="1"/>
  <c r="F49" i="4"/>
  <c r="J48" i="4"/>
  <c r="G48" i="4"/>
  <c r="L48" i="4" s="1"/>
  <c r="F48" i="4"/>
  <c r="J47" i="4"/>
  <c r="G47" i="4"/>
  <c r="L47" i="4" s="1"/>
  <c r="F47" i="4"/>
  <c r="J46" i="4"/>
  <c r="G46" i="4"/>
  <c r="L46" i="4" s="1"/>
  <c r="F46" i="4"/>
  <c r="J45" i="4"/>
  <c r="G45" i="4"/>
  <c r="L45" i="4" s="1"/>
  <c r="F45" i="4"/>
  <c r="J44" i="4"/>
  <c r="G44" i="4"/>
  <c r="L44" i="4" s="1"/>
  <c r="F44" i="4"/>
  <c r="J43" i="4"/>
  <c r="G43" i="4"/>
  <c r="L43" i="4" s="1"/>
  <c r="F43" i="4"/>
  <c r="J42" i="4"/>
  <c r="G42" i="4"/>
  <c r="L42" i="4" s="1"/>
  <c r="F42" i="4"/>
  <c r="J41" i="4"/>
  <c r="G41" i="4"/>
  <c r="L41" i="4" s="1"/>
  <c r="F41" i="4"/>
  <c r="J40" i="4"/>
  <c r="G40" i="4"/>
  <c r="L40" i="4" s="1"/>
  <c r="F40" i="4"/>
  <c r="J39" i="4"/>
  <c r="G39" i="4"/>
  <c r="L39" i="4" s="1"/>
  <c r="F39" i="4"/>
  <c r="J38" i="4"/>
  <c r="G38" i="4"/>
  <c r="L38" i="4" s="1"/>
  <c r="F38" i="4"/>
  <c r="J37" i="4"/>
  <c r="G37" i="4"/>
  <c r="L37" i="4" s="1"/>
  <c r="F37" i="4"/>
  <c r="J36" i="4"/>
  <c r="G36" i="4"/>
  <c r="L36" i="4" s="1"/>
  <c r="F36" i="4"/>
  <c r="J35" i="4"/>
  <c r="G35" i="4"/>
  <c r="L35" i="4" s="1"/>
  <c r="F35" i="4"/>
  <c r="J34" i="4"/>
  <c r="G34" i="4"/>
  <c r="L34" i="4" s="1"/>
  <c r="F34" i="4"/>
  <c r="J33" i="4"/>
  <c r="G33" i="4"/>
  <c r="L33" i="4" s="1"/>
  <c r="F33" i="4"/>
  <c r="J32" i="4"/>
  <c r="G32" i="4"/>
  <c r="L32" i="4" s="1"/>
  <c r="F32" i="4"/>
  <c r="J31" i="4"/>
  <c r="G31" i="4"/>
  <c r="L31" i="4" s="1"/>
  <c r="F31" i="4"/>
  <c r="J30" i="4"/>
  <c r="G30" i="4"/>
  <c r="L30" i="4" s="1"/>
  <c r="F30" i="4"/>
  <c r="J29" i="4"/>
  <c r="G29" i="4"/>
  <c r="L29" i="4" s="1"/>
  <c r="F29" i="4"/>
  <c r="J28" i="4"/>
  <c r="G28" i="4"/>
  <c r="L28" i="4" s="1"/>
  <c r="F28" i="4"/>
  <c r="J27" i="4"/>
  <c r="G27" i="4"/>
  <c r="L27" i="4" s="1"/>
  <c r="F27" i="4"/>
  <c r="J26" i="4"/>
  <c r="G26" i="4"/>
  <c r="L26" i="4" s="1"/>
  <c r="F26" i="4"/>
  <c r="J25" i="4"/>
  <c r="G25" i="4"/>
  <c r="L25" i="4" s="1"/>
  <c r="F25" i="4"/>
  <c r="J24" i="4"/>
  <c r="G24" i="4"/>
  <c r="L24" i="4" s="1"/>
  <c r="F24" i="4"/>
  <c r="J23" i="4"/>
  <c r="G23" i="4"/>
  <c r="L23" i="4" s="1"/>
  <c r="F23" i="4"/>
  <c r="C23" i="4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J22" i="4"/>
  <c r="G22" i="4"/>
  <c r="L22" i="4" s="1"/>
  <c r="F22" i="4"/>
  <c r="C22" i="4"/>
  <c r="J21" i="4"/>
  <c r="G21" i="4"/>
  <c r="L21" i="4" s="1"/>
  <c r="F21" i="4"/>
  <c r="J20" i="4"/>
  <c r="G20" i="4"/>
  <c r="L20" i="4" s="1"/>
  <c r="F20" i="4"/>
  <c r="J19" i="4"/>
  <c r="G19" i="4"/>
  <c r="L19" i="4" s="1"/>
  <c r="F19" i="4"/>
  <c r="J18" i="4"/>
  <c r="G18" i="4"/>
  <c r="L18" i="4" s="1"/>
  <c r="F18" i="4"/>
  <c r="B18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J17" i="4"/>
  <c r="G17" i="4"/>
  <c r="L17" i="4" s="1"/>
  <c r="F17" i="4"/>
  <c r="B17" i="4"/>
  <c r="J16" i="4"/>
  <c r="F16" i="4"/>
  <c r="T11" i="5" l="1"/>
  <c r="S11" i="5"/>
  <c r="J34" i="5"/>
  <c r="J39" i="5"/>
  <c r="J42" i="5"/>
  <c r="J47" i="5"/>
  <c r="J50" i="5"/>
  <c r="J55" i="5"/>
  <c r="J58" i="5"/>
  <c r="J63" i="5"/>
  <c r="J66" i="5"/>
  <c r="J71" i="5"/>
  <c r="J74" i="5"/>
  <c r="J79" i="5"/>
  <c r="J82" i="5"/>
  <c r="J87" i="5"/>
  <c r="J90" i="5"/>
  <c r="J95" i="5"/>
  <c r="J98" i="5"/>
  <c r="J103" i="5"/>
  <c r="J106" i="5"/>
  <c r="J111" i="5"/>
  <c r="J114" i="5"/>
  <c r="J119" i="5"/>
  <c r="J122" i="5"/>
  <c r="K16" i="5"/>
  <c r="N9" i="4"/>
  <c r="R19" i="5"/>
  <c r="Q19" i="5"/>
  <c r="R18" i="5"/>
  <c r="Q18" i="5"/>
  <c r="R17" i="5"/>
  <c r="Q17" i="5"/>
  <c r="R16" i="5"/>
  <c r="Q16" i="5"/>
  <c r="R15" i="5"/>
  <c r="Q15" i="5"/>
  <c r="R14" i="5"/>
  <c r="Q14" i="5"/>
  <c r="P16" i="5"/>
  <c r="P18" i="5"/>
  <c r="R13" i="5"/>
  <c r="Q13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27" i="5"/>
  <c r="H27" i="5"/>
  <c r="F29" i="5"/>
  <c r="J29" i="5" s="1"/>
  <c r="F126" i="5"/>
  <c r="J126" i="5" s="1"/>
  <c r="F125" i="5"/>
  <c r="J125" i="5" s="1"/>
  <c r="F124" i="5"/>
  <c r="J124" i="5" s="1"/>
  <c r="F123" i="5"/>
  <c r="J123" i="5" s="1"/>
  <c r="F122" i="5"/>
  <c r="F121" i="5"/>
  <c r="J121" i="5" s="1"/>
  <c r="F120" i="5"/>
  <c r="J120" i="5" s="1"/>
  <c r="F119" i="5"/>
  <c r="F118" i="5"/>
  <c r="J118" i="5" s="1"/>
  <c r="F117" i="5"/>
  <c r="J117" i="5" s="1"/>
  <c r="F116" i="5"/>
  <c r="J116" i="5" s="1"/>
  <c r="F115" i="5"/>
  <c r="J115" i="5" s="1"/>
  <c r="F114" i="5"/>
  <c r="F113" i="5"/>
  <c r="J113" i="5" s="1"/>
  <c r="F112" i="5"/>
  <c r="J112" i="5" s="1"/>
  <c r="F111" i="5"/>
  <c r="F110" i="5"/>
  <c r="J110" i="5" s="1"/>
  <c r="F109" i="5"/>
  <c r="J109" i="5" s="1"/>
  <c r="F108" i="5"/>
  <c r="J108" i="5" s="1"/>
  <c r="F107" i="5"/>
  <c r="J107" i="5" s="1"/>
  <c r="F106" i="5"/>
  <c r="F105" i="5"/>
  <c r="J105" i="5" s="1"/>
  <c r="F104" i="5"/>
  <c r="J104" i="5" s="1"/>
  <c r="F103" i="5"/>
  <c r="F102" i="5"/>
  <c r="J102" i="5" s="1"/>
  <c r="F101" i="5"/>
  <c r="J101" i="5" s="1"/>
  <c r="F100" i="5"/>
  <c r="J100" i="5" s="1"/>
  <c r="F99" i="5"/>
  <c r="J99" i="5" s="1"/>
  <c r="F98" i="5"/>
  <c r="F97" i="5"/>
  <c r="J97" i="5" s="1"/>
  <c r="F96" i="5"/>
  <c r="J96" i="5" s="1"/>
  <c r="F95" i="5"/>
  <c r="F94" i="5"/>
  <c r="J94" i="5" s="1"/>
  <c r="F93" i="5"/>
  <c r="J93" i="5" s="1"/>
  <c r="F92" i="5"/>
  <c r="J92" i="5" s="1"/>
  <c r="F91" i="5"/>
  <c r="J91" i="5" s="1"/>
  <c r="F90" i="5"/>
  <c r="F89" i="5"/>
  <c r="J89" i="5" s="1"/>
  <c r="F88" i="5"/>
  <c r="J88" i="5" s="1"/>
  <c r="F87" i="5"/>
  <c r="F86" i="5"/>
  <c r="J86" i="5" s="1"/>
  <c r="F85" i="5"/>
  <c r="J85" i="5" s="1"/>
  <c r="F84" i="5"/>
  <c r="J84" i="5" s="1"/>
  <c r="F83" i="5"/>
  <c r="J83" i="5" s="1"/>
  <c r="F82" i="5"/>
  <c r="F81" i="5"/>
  <c r="J81" i="5" s="1"/>
  <c r="F80" i="5"/>
  <c r="J80" i="5" s="1"/>
  <c r="F79" i="5"/>
  <c r="F78" i="5"/>
  <c r="J78" i="5" s="1"/>
  <c r="F77" i="5"/>
  <c r="J77" i="5" s="1"/>
  <c r="F76" i="5"/>
  <c r="J76" i="5" s="1"/>
  <c r="F75" i="5"/>
  <c r="J75" i="5" s="1"/>
  <c r="F74" i="5"/>
  <c r="F73" i="5"/>
  <c r="J73" i="5" s="1"/>
  <c r="F72" i="5"/>
  <c r="J72" i="5" s="1"/>
  <c r="F71" i="5"/>
  <c r="F70" i="5"/>
  <c r="J70" i="5" s="1"/>
  <c r="F69" i="5"/>
  <c r="J69" i="5" s="1"/>
  <c r="F68" i="5"/>
  <c r="J68" i="5" s="1"/>
  <c r="F67" i="5"/>
  <c r="J67" i="5" s="1"/>
  <c r="F66" i="5"/>
  <c r="F65" i="5"/>
  <c r="J65" i="5" s="1"/>
  <c r="F64" i="5"/>
  <c r="J64" i="5" s="1"/>
  <c r="F63" i="5"/>
  <c r="F62" i="5"/>
  <c r="J62" i="5" s="1"/>
  <c r="F61" i="5"/>
  <c r="J61" i="5" s="1"/>
  <c r="F60" i="5"/>
  <c r="J60" i="5" s="1"/>
  <c r="F59" i="5"/>
  <c r="J59" i="5" s="1"/>
  <c r="F58" i="5"/>
  <c r="F57" i="5"/>
  <c r="J57" i="5" s="1"/>
  <c r="F56" i="5"/>
  <c r="J56" i="5" s="1"/>
  <c r="F55" i="5"/>
  <c r="F54" i="5"/>
  <c r="J54" i="5" s="1"/>
  <c r="F53" i="5"/>
  <c r="J53" i="5" s="1"/>
  <c r="F52" i="5"/>
  <c r="J52" i="5" s="1"/>
  <c r="F51" i="5"/>
  <c r="J51" i="5" s="1"/>
  <c r="F50" i="5"/>
  <c r="F49" i="5"/>
  <c r="J49" i="5" s="1"/>
  <c r="F48" i="5"/>
  <c r="J48" i="5" s="1"/>
  <c r="F47" i="5"/>
  <c r="F46" i="5"/>
  <c r="J46" i="5" s="1"/>
  <c r="F45" i="5"/>
  <c r="J45" i="5" s="1"/>
  <c r="F44" i="5"/>
  <c r="J44" i="5" s="1"/>
  <c r="F43" i="5"/>
  <c r="J43" i="5" s="1"/>
  <c r="F42" i="5"/>
  <c r="F41" i="5"/>
  <c r="J41" i="5" s="1"/>
  <c r="F40" i="5"/>
  <c r="J40" i="5" s="1"/>
  <c r="F39" i="5"/>
  <c r="F38" i="5"/>
  <c r="J38" i="5" s="1"/>
  <c r="F37" i="5"/>
  <c r="J37" i="5" s="1"/>
  <c r="F36" i="5"/>
  <c r="J36" i="5" s="1"/>
  <c r="F35" i="5"/>
  <c r="J35" i="5" s="1"/>
  <c r="F34" i="5"/>
  <c r="F33" i="5"/>
  <c r="J33" i="5" s="1"/>
  <c r="C33" i="5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F32" i="5"/>
  <c r="J32" i="5" s="1"/>
  <c r="F31" i="5"/>
  <c r="J31" i="5" s="1"/>
  <c r="F30" i="5"/>
  <c r="J30" i="5" s="1"/>
  <c r="F28" i="5"/>
  <c r="J28" i="5" s="1"/>
  <c r="B28" i="5"/>
  <c r="F27" i="5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M16" i="4"/>
  <c r="H28" i="5" l="1"/>
  <c r="B29" i="5"/>
  <c r="B30" i="5" s="1"/>
  <c r="H30" i="5" s="1"/>
  <c r="M30" i="5" s="1"/>
  <c r="M28" i="5"/>
  <c r="H29" i="5"/>
  <c r="M29" i="5" s="1"/>
  <c r="M17" i="4"/>
  <c r="J11" i="4"/>
  <c r="N10" i="4"/>
  <c r="D9" i="4"/>
  <c r="D8" i="4"/>
  <c r="F5" i="4"/>
  <c r="D11" i="4" s="1"/>
  <c r="B31" i="5" l="1"/>
  <c r="H31" i="5" s="1"/>
  <c r="B32" i="5"/>
  <c r="H32" i="5" s="1"/>
  <c r="M32" i="5" s="1"/>
  <c r="N17" i="4"/>
  <c r="K28" i="5" s="1"/>
  <c r="J10" i="4"/>
  <c r="J12" i="4" s="1"/>
  <c r="D10" i="4"/>
  <c r="N16" i="4" s="1"/>
  <c r="D12" i="4"/>
  <c r="N11" i="4"/>
  <c r="O17" i="4" l="1"/>
  <c r="P17" i="4" s="1"/>
  <c r="O16" i="4"/>
  <c r="P16" i="4" s="1"/>
  <c r="M31" i="5"/>
  <c r="B33" i="5"/>
  <c r="H33" i="5" s="1"/>
  <c r="M18" i="4"/>
  <c r="N9" i="1"/>
  <c r="N10" i="1"/>
  <c r="N11" i="1" s="1"/>
  <c r="F5" i="1"/>
  <c r="D8" i="1"/>
  <c r="D9" i="1"/>
  <c r="K20" i="1"/>
  <c r="M20" i="1"/>
  <c r="K21" i="1"/>
  <c r="G21" i="1"/>
  <c r="M21" i="1"/>
  <c r="K22" i="1"/>
  <c r="G22" i="1"/>
  <c r="M22" i="1"/>
  <c r="K23" i="1"/>
  <c r="G23" i="1"/>
  <c r="M23" i="1"/>
  <c r="K24" i="1"/>
  <c r="G24" i="1"/>
  <c r="M24" i="1"/>
  <c r="K25" i="1"/>
  <c r="G25" i="1"/>
  <c r="M25" i="1"/>
  <c r="K26" i="1"/>
  <c r="G26" i="1"/>
  <c r="M26" i="1"/>
  <c r="K27" i="1"/>
  <c r="G27" i="1"/>
  <c r="M27" i="1"/>
  <c r="K28" i="1"/>
  <c r="G28" i="1"/>
  <c r="M28" i="1"/>
  <c r="K29" i="1"/>
  <c r="G29" i="1"/>
  <c r="M29" i="1"/>
  <c r="K30" i="1"/>
  <c r="G30" i="1"/>
  <c r="M30" i="1"/>
  <c r="K31" i="1"/>
  <c r="G31" i="1"/>
  <c r="M31" i="1"/>
  <c r="K32" i="1"/>
  <c r="G32" i="1"/>
  <c r="M32" i="1"/>
  <c r="K33" i="1"/>
  <c r="G33" i="1"/>
  <c r="M33" i="1"/>
  <c r="K34" i="1"/>
  <c r="G34" i="1"/>
  <c r="M34" i="1"/>
  <c r="K35" i="1"/>
  <c r="G35" i="1"/>
  <c r="M35" i="1"/>
  <c r="K36" i="1"/>
  <c r="G36" i="1"/>
  <c r="M36" i="1"/>
  <c r="K37" i="1"/>
  <c r="G37" i="1"/>
  <c r="M37" i="1"/>
  <c r="K38" i="1"/>
  <c r="G38" i="1"/>
  <c r="M38" i="1"/>
  <c r="K39" i="1"/>
  <c r="G39" i="1"/>
  <c r="M39" i="1"/>
  <c r="K40" i="1"/>
  <c r="G40" i="1"/>
  <c r="M40" i="1"/>
  <c r="K41" i="1"/>
  <c r="G41" i="1"/>
  <c r="M41" i="1"/>
  <c r="K42" i="1"/>
  <c r="G42" i="1"/>
  <c r="M42" i="1"/>
  <c r="K43" i="1"/>
  <c r="G43" i="1"/>
  <c r="M43" i="1"/>
  <c r="K44" i="1"/>
  <c r="G44" i="1"/>
  <c r="M44" i="1"/>
  <c r="K45" i="1"/>
  <c r="G45" i="1"/>
  <c r="M45" i="1"/>
  <c r="K46" i="1"/>
  <c r="G46" i="1"/>
  <c r="M46" i="1"/>
  <c r="K47" i="1"/>
  <c r="G47" i="1"/>
  <c r="M47" i="1"/>
  <c r="K48" i="1"/>
  <c r="G48" i="1"/>
  <c r="M48" i="1"/>
  <c r="K49" i="1"/>
  <c r="G49" i="1"/>
  <c r="M49" i="1"/>
  <c r="K50" i="1"/>
  <c r="G50" i="1"/>
  <c r="M50" i="1"/>
  <c r="K51" i="1"/>
  <c r="G51" i="1"/>
  <c r="M51" i="1"/>
  <c r="K52" i="1"/>
  <c r="G52" i="1"/>
  <c r="M52" i="1"/>
  <c r="K53" i="1"/>
  <c r="G53" i="1"/>
  <c r="M53" i="1"/>
  <c r="K54" i="1"/>
  <c r="G54" i="1"/>
  <c r="M54" i="1"/>
  <c r="K55" i="1"/>
  <c r="G55" i="1"/>
  <c r="M55" i="1"/>
  <c r="K56" i="1"/>
  <c r="G56" i="1"/>
  <c r="M56" i="1"/>
  <c r="K57" i="1"/>
  <c r="G57" i="1"/>
  <c r="M57" i="1"/>
  <c r="K58" i="1"/>
  <c r="G58" i="1"/>
  <c r="M58" i="1"/>
  <c r="K59" i="1"/>
  <c r="G59" i="1"/>
  <c r="M59" i="1"/>
  <c r="K60" i="1"/>
  <c r="G60" i="1"/>
  <c r="M60" i="1"/>
  <c r="K61" i="1"/>
  <c r="G61" i="1"/>
  <c r="M61" i="1"/>
  <c r="K62" i="1"/>
  <c r="G62" i="1"/>
  <c r="M62" i="1"/>
  <c r="K63" i="1"/>
  <c r="G63" i="1"/>
  <c r="M63" i="1"/>
  <c r="K64" i="1"/>
  <c r="G64" i="1"/>
  <c r="M64" i="1"/>
  <c r="K65" i="1"/>
  <c r="G65" i="1"/>
  <c r="M65" i="1"/>
  <c r="K66" i="1"/>
  <c r="G66" i="1"/>
  <c r="M66" i="1"/>
  <c r="K67" i="1"/>
  <c r="G67" i="1"/>
  <c r="M67" i="1"/>
  <c r="K68" i="1"/>
  <c r="G68" i="1"/>
  <c r="M68" i="1"/>
  <c r="K69" i="1"/>
  <c r="G69" i="1"/>
  <c r="M69" i="1"/>
  <c r="K70" i="1"/>
  <c r="G70" i="1"/>
  <c r="M70" i="1"/>
  <c r="K71" i="1"/>
  <c r="G71" i="1"/>
  <c r="M71" i="1"/>
  <c r="K72" i="1"/>
  <c r="G72" i="1"/>
  <c r="M72" i="1"/>
  <c r="K73" i="1"/>
  <c r="G73" i="1"/>
  <c r="M73" i="1"/>
  <c r="K74" i="1"/>
  <c r="G74" i="1"/>
  <c r="M74" i="1"/>
  <c r="K75" i="1"/>
  <c r="G75" i="1"/>
  <c r="M75" i="1"/>
  <c r="K76" i="1"/>
  <c r="G76" i="1"/>
  <c r="M76" i="1"/>
  <c r="K77" i="1"/>
  <c r="G77" i="1"/>
  <c r="M77" i="1"/>
  <c r="K78" i="1"/>
  <c r="G78" i="1"/>
  <c r="M78" i="1"/>
  <c r="K79" i="1"/>
  <c r="G79" i="1"/>
  <c r="M79" i="1"/>
  <c r="K80" i="1"/>
  <c r="G80" i="1"/>
  <c r="M80" i="1"/>
  <c r="K81" i="1"/>
  <c r="G81" i="1"/>
  <c r="M81" i="1"/>
  <c r="K82" i="1"/>
  <c r="G82" i="1"/>
  <c r="M82" i="1"/>
  <c r="K83" i="1"/>
  <c r="G83" i="1"/>
  <c r="M83" i="1"/>
  <c r="K84" i="1"/>
  <c r="G84" i="1"/>
  <c r="M84" i="1"/>
  <c r="K85" i="1"/>
  <c r="G85" i="1"/>
  <c r="M85" i="1"/>
  <c r="K86" i="1"/>
  <c r="G86" i="1"/>
  <c r="M86" i="1"/>
  <c r="K87" i="1"/>
  <c r="G87" i="1"/>
  <c r="M87" i="1"/>
  <c r="K88" i="1"/>
  <c r="G88" i="1"/>
  <c r="M88" i="1"/>
  <c r="K89" i="1"/>
  <c r="G89" i="1"/>
  <c r="M89" i="1"/>
  <c r="K90" i="1"/>
  <c r="G90" i="1"/>
  <c r="M90" i="1"/>
  <c r="K91" i="1"/>
  <c r="G91" i="1"/>
  <c r="M91" i="1"/>
  <c r="K92" i="1"/>
  <c r="G92" i="1"/>
  <c r="M92" i="1"/>
  <c r="K93" i="1"/>
  <c r="G93" i="1"/>
  <c r="M93" i="1"/>
  <c r="K94" i="1"/>
  <c r="G94" i="1"/>
  <c r="M94" i="1"/>
  <c r="K95" i="1"/>
  <c r="G95" i="1"/>
  <c r="M95" i="1"/>
  <c r="K96" i="1"/>
  <c r="G96" i="1"/>
  <c r="M96" i="1"/>
  <c r="K97" i="1"/>
  <c r="G97" i="1"/>
  <c r="M97" i="1"/>
  <c r="K98" i="1"/>
  <c r="G98" i="1"/>
  <c r="M98" i="1"/>
  <c r="K99" i="1"/>
  <c r="G99" i="1"/>
  <c r="M99" i="1"/>
  <c r="K100" i="1"/>
  <c r="G100" i="1"/>
  <c r="M100" i="1"/>
  <c r="K101" i="1"/>
  <c r="G101" i="1"/>
  <c r="M101" i="1"/>
  <c r="K102" i="1"/>
  <c r="G102" i="1"/>
  <c r="M102" i="1"/>
  <c r="K103" i="1"/>
  <c r="G103" i="1"/>
  <c r="M103" i="1"/>
  <c r="K104" i="1"/>
  <c r="G104" i="1"/>
  <c r="M104" i="1"/>
  <c r="K105" i="1"/>
  <c r="G105" i="1"/>
  <c r="M105" i="1"/>
  <c r="K106" i="1"/>
  <c r="G106" i="1"/>
  <c r="M106" i="1"/>
  <c r="K107" i="1"/>
  <c r="G107" i="1"/>
  <c r="M107" i="1"/>
  <c r="K108" i="1"/>
  <c r="G108" i="1"/>
  <c r="M108" i="1"/>
  <c r="K109" i="1"/>
  <c r="G109" i="1"/>
  <c r="M109" i="1"/>
  <c r="K110" i="1"/>
  <c r="G110" i="1"/>
  <c r="M110" i="1"/>
  <c r="K111" i="1"/>
  <c r="G111" i="1"/>
  <c r="M111" i="1"/>
  <c r="K112" i="1"/>
  <c r="G112" i="1"/>
  <c r="M112" i="1"/>
  <c r="K113" i="1"/>
  <c r="G113" i="1"/>
  <c r="M113" i="1"/>
  <c r="K114" i="1"/>
  <c r="G114" i="1"/>
  <c r="M114" i="1"/>
  <c r="K115" i="1"/>
  <c r="G115" i="1"/>
  <c r="M115" i="1"/>
  <c r="J11" i="1"/>
  <c r="B7" i="2"/>
  <c r="B12" i="2" s="1"/>
  <c r="M33" i="5" l="1"/>
  <c r="B34" i="5"/>
  <c r="H34" i="5" s="1"/>
  <c r="M19" i="4"/>
  <c r="N18" i="4"/>
  <c r="K29" i="5" s="1"/>
  <c r="D11" i="1"/>
  <c r="D10" i="1" s="1"/>
  <c r="J10" i="1"/>
  <c r="J12" i="1" s="1"/>
  <c r="K117" i="1"/>
  <c r="K118" i="1" s="1"/>
  <c r="K117" i="4"/>
  <c r="K118" i="4" s="1"/>
  <c r="F118" i="1"/>
  <c r="O18" i="4" l="1"/>
  <c r="P18" i="4" s="1"/>
  <c r="M34" i="5"/>
  <c r="B35" i="5"/>
  <c r="H35" i="5" s="1"/>
  <c r="M20" i="4"/>
  <c r="N19" i="4"/>
  <c r="K30" i="5" s="1"/>
  <c r="D12" i="1"/>
  <c r="L49" i="1" s="1"/>
  <c r="N49" i="1" s="1"/>
  <c r="O49" i="1" s="1"/>
  <c r="K119" i="1"/>
  <c r="O19" i="4" l="1"/>
  <c r="P19" i="4" s="1"/>
  <c r="M35" i="5"/>
  <c r="B36" i="5"/>
  <c r="H36" i="5" s="1"/>
  <c r="M21" i="4"/>
  <c r="N20" i="4"/>
  <c r="K31" i="5" s="1"/>
  <c r="S12" i="5" s="1"/>
  <c r="L44" i="1"/>
  <c r="N44" i="1" s="1"/>
  <c r="O44" i="1" s="1"/>
  <c r="L91" i="1"/>
  <c r="N91" i="1" s="1"/>
  <c r="O91" i="1" s="1"/>
  <c r="L71" i="1"/>
  <c r="N71" i="1" s="1"/>
  <c r="O71" i="1" s="1"/>
  <c r="L95" i="1"/>
  <c r="N95" i="1" s="1"/>
  <c r="O95" i="1" s="1"/>
  <c r="L51" i="1"/>
  <c r="N51" i="1" s="1"/>
  <c r="O51" i="1" s="1"/>
  <c r="L99" i="1"/>
  <c r="N99" i="1" s="1"/>
  <c r="O99" i="1" s="1"/>
  <c r="L74" i="1"/>
  <c r="N74" i="1" s="1"/>
  <c r="O74" i="1" s="1"/>
  <c r="L66" i="1"/>
  <c r="N66" i="1" s="1"/>
  <c r="O66" i="1" s="1"/>
  <c r="L38" i="1"/>
  <c r="N38" i="1" s="1"/>
  <c r="O38" i="1" s="1"/>
  <c r="L27" i="1"/>
  <c r="N27" i="1" s="1"/>
  <c r="O27" i="1" s="1"/>
  <c r="L43" i="1"/>
  <c r="N43" i="1" s="1"/>
  <c r="O43" i="1" s="1"/>
  <c r="L87" i="1"/>
  <c r="N87" i="1" s="1"/>
  <c r="O87" i="1" s="1"/>
  <c r="L26" i="1"/>
  <c r="N26" i="1" s="1"/>
  <c r="O26" i="1" s="1"/>
  <c r="L96" i="1"/>
  <c r="N96" i="1" s="1"/>
  <c r="O96" i="1" s="1"/>
  <c r="L64" i="1"/>
  <c r="N64" i="1" s="1"/>
  <c r="O64" i="1" s="1"/>
  <c r="L113" i="1"/>
  <c r="N113" i="1" s="1"/>
  <c r="O113" i="1" s="1"/>
  <c r="L97" i="1"/>
  <c r="N97" i="1" s="1"/>
  <c r="O97" i="1" s="1"/>
  <c r="L37" i="1"/>
  <c r="N37" i="1" s="1"/>
  <c r="O37" i="1" s="1"/>
  <c r="L53" i="1"/>
  <c r="N53" i="1" s="1"/>
  <c r="O53" i="1" s="1"/>
  <c r="L89" i="1"/>
  <c r="N89" i="1" s="1"/>
  <c r="O89" i="1" s="1"/>
  <c r="L82" i="1"/>
  <c r="N82" i="1" s="1"/>
  <c r="O82" i="1" s="1"/>
  <c r="L22" i="1"/>
  <c r="N22" i="1" s="1"/>
  <c r="O22" i="1" s="1"/>
  <c r="L93" i="1"/>
  <c r="N93" i="1" s="1"/>
  <c r="O93" i="1" s="1"/>
  <c r="L70" i="1"/>
  <c r="N70" i="1" s="1"/>
  <c r="O70" i="1" s="1"/>
  <c r="L34" i="1"/>
  <c r="N34" i="1" s="1"/>
  <c r="O34" i="1" s="1"/>
  <c r="L31" i="1"/>
  <c r="N31" i="1" s="1"/>
  <c r="O31" i="1" s="1"/>
  <c r="L72" i="1"/>
  <c r="N72" i="1" s="1"/>
  <c r="O72" i="1" s="1"/>
  <c r="L104" i="1"/>
  <c r="N104" i="1" s="1"/>
  <c r="O104" i="1" s="1"/>
  <c r="L92" i="1"/>
  <c r="N92" i="1" s="1"/>
  <c r="O92" i="1" s="1"/>
  <c r="L47" i="1"/>
  <c r="N47" i="1" s="1"/>
  <c r="O47" i="1" s="1"/>
  <c r="L45" i="1"/>
  <c r="N45" i="1" s="1"/>
  <c r="O45" i="1" s="1"/>
  <c r="L94" i="1"/>
  <c r="N94" i="1" s="1"/>
  <c r="O94" i="1" s="1"/>
  <c r="L65" i="1"/>
  <c r="N65" i="1" s="1"/>
  <c r="O65" i="1" s="1"/>
  <c r="L85" i="1"/>
  <c r="N85" i="1" s="1"/>
  <c r="O85" i="1" s="1"/>
  <c r="L58" i="1"/>
  <c r="N58" i="1" s="1"/>
  <c r="O58" i="1" s="1"/>
  <c r="L67" i="1"/>
  <c r="N67" i="1" s="1"/>
  <c r="O67" i="1" s="1"/>
  <c r="L98" i="1"/>
  <c r="N98" i="1" s="1"/>
  <c r="O98" i="1" s="1"/>
  <c r="L106" i="1"/>
  <c r="N106" i="1" s="1"/>
  <c r="O106" i="1" s="1"/>
  <c r="L90" i="1"/>
  <c r="N90" i="1" s="1"/>
  <c r="O90" i="1" s="1"/>
  <c r="L88" i="1"/>
  <c r="N88" i="1" s="1"/>
  <c r="O88" i="1" s="1"/>
  <c r="L112" i="1"/>
  <c r="N112" i="1" s="1"/>
  <c r="O112" i="1" s="1"/>
  <c r="L54" i="1"/>
  <c r="N54" i="1" s="1"/>
  <c r="O54" i="1" s="1"/>
  <c r="L68" i="1"/>
  <c r="N68" i="1" s="1"/>
  <c r="O68" i="1" s="1"/>
  <c r="L86" i="1"/>
  <c r="N86" i="1" s="1"/>
  <c r="O86" i="1" s="1"/>
  <c r="L40" i="1"/>
  <c r="N40" i="1" s="1"/>
  <c r="O40" i="1" s="1"/>
  <c r="L77" i="1"/>
  <c r="N77" i="1" s="1"/>
  <c r="O77" i="1" s="1"/>
  <c r="L25" i="1"/>
  <c r="N25" i="1" s="1"/>
  <c r="O25" i="1" s="1"/>
  <c r="L79" i="1"/>
  <c r="N79" i="1" s="1"/>
  <c r="O79" i="1" s="1"/>
  <c r="L24" i="1"/>
  <c r="N24" i="1" s="1"/>
  <c r="O24" i="1" s="1"/>
  <c r="L105" i="1"/>
  <c r="N105" i="1" s="1"/>
  <c r="O105" i="1" s="1"/>
  <c r="L46" i="1"/>
  <c r="N46" i="1" s="1"/>
  <c r="O46" i="1" s="1"/>
  <c r="L76" i="1"/>
  <c r="N76" i="1" s="1"/>
  <c r="O76" i="1" s="1"/>
  <c r="L23" i="1"/>
  <c r="N23" i="1" s="1"/>
  <c r="O23" i="1" s="1"/>
  <c r="L115" i="1"/>
  <c r="N115" i="1" s="1"/>
  <c r="O115" i="1" s="1"/>
  <c r="L57" i="1"/>
  <c r="N57" i="1" s="1"/>
  <c r="O57" i="1" s="1"/>
  <c r="L84" i="1"/>
  <c r="N84" i="1" s="1"/>
  <c r="O84" i="1" s="1"/>
  <c r="L81" i="1"/>
  <c r="N81" i="1" s="1"/>
  <c r="O81" i="1" s="1"/>
  <c r="L29" i="1"/>
  <c r="N29" i="1" s="1"/>
  <c r="O29" i="1" s="1"/>
  <c r="L63" i="1"/>
  <c r="N63" i="1" s="1"/>
  <c r="O63" i="1" s="1"/>
  <c r="L75" i="1"/>
  <c r="N75" i="1" s="1"/>
  <c r="O75" i="1" s="1"/>
  <c r="L109" i="1"/>
  <c r="N109" i="1" s="1"/>
  <c r="O109" i="1" s="1"/>
  <c r="L50" i="1"/>
  <c r="N50" i="1" s="1"/>
  <c r="O50" i="1" s="1"/>
  <c r="L78" i="1"/>
  <c r="N78" i="1" s="1"/>
  <c r="O78" i="1" s="1"/>
  <c r="L56" i="1"/>
  <c r="N56" i="1" s="1"/>
  <c r="O56" i="1" s="1"/>
  <c r="L114" i="1"/>
  <c r="N114" i="1" s="1"/>
  <c r="O114" i="1" s="1"/>
  <c r="L73" i="1"/>
  <c r="N73" i="1" s="1"/>
  <c r="O73" i="1" s="1"/>
  <c r="L33" i="1"/>
  <c r="N33" i="1" s="1"/>
  <c r="O33" i="1" s="1"/>
  <c r="L39" i="1"/>
  <c r="N39" i="1" s="1"/>
  <c r="O39" i="1" s="1"/>
  <c r="L101" i="1"/>
  <c r="N101" i="1" s="1"/>
  <c r="O101" i="1" s="1"/>
  <c r="L69" i="1"/>
  <c r="N69" i="1" s="1"/>
  <c r="O69" i="1" s="1"/>
  <c r="L42" i="1"/>
  <c r="N42" i="1" s="1"/>
  <c r="O42" i="1" s="1"/>
  <c r="L80" i="1"/>
  <c r="N80" i="1" s="1"/>
  <c r="O80" i="1" s="1"/>
  <c r="L110" i="1"/>
  <c r="N110" i="1" s="1"/>
  <c r="O110" i="1" s="1"/>
  <c r="L100" i="1"/>
  <c r="N100" i="1" s="1"/>
  <c r="O100" i="1" s="1"/>
  <c r="L60" i="1"/>
  <c r="N60" i="1" s="1"/>
  <c r="O60" i="1" s="1"/>
  <c r="L32" i="1"/>
  <c r="N32" i="1" s="1"/>
  <c r="O32" i="1" s="1"/>
  <c r="L28" i="1"/>
  <c r="N28" i="1" s="1"/>
  <c r="O28" i="1" s="1"/>
  <c r="L55" i="1"/>
  <c r="N55" i="1" s="1"/>
  <c r="O55" i="1" s="1"/>
  <c r="L111" i="1"/>
  <c r="N111" i="1" s="1"/>
  <c r="O111" i="1" s="1"/>
  <c r="L41" i="1"/>
  <c r="N41" i="1" s="1"/>
  <c r="O41" i="1" s="1"/>
  <c r="L48" i="1"/>
  <c r="N48" i="1" s="1"/>
  <c r="O48" i="1" s="1"/>
  <c r="L36" i="1"/>
  <c r="N36" i="1" s="1"/>
  <c r="O36" i="1" s="1"/>
  <c r="L102" i="1"/>
  <c r="N102" i="1" s="1"/>
  <c r="O102" i="1" s="1"/>
  <c r="L107" i="1"/>
  <c r="N107" i="1" s="1"/>
  <c r="O107" i="1" s="1"/>
  <c r="L83" i="1"/>
  <c r="N83" i="1" s="1"/>
  <c r="O83" i="1" s="1"/>
  <c r="L21" i="1"/>
  <c r="N21" i="1" s="1"/>
  <c r="O21" i="1" s="1"/>
  <c r="L62" i="1"/>
  <c r="N62" i="1" s="1"/>
  <c r="O62" i="1" s="1"/>
  <c r="L30" i="1"/>
  <c r="N30" i="1" s="1"/>
  <c r="O30" i="1" s="1"/>
  <c r="L35" i="1"/>
  <c r="N35" i="1" s="1"/>
  <c r="O35" i="1" s="1"/>
  <c r="L52" i="1"/>
  <c r="N52" i="1" s="1"/>
  <c r="O52" i="1" s="1"/>
  <c r="L59" i="1"/>
  <c r="N59" i="1" s="1"/>
  <c r="O59" i="1" s="1"/>
  <c r="L108" i="1"/>
  <c r="N108" i="1" s="1"/>
  <c r="O108" i="1" s="1"/>
  <c r="L61" i="1"/>
  <c r="N61" i="1" s="1"/>
  <c r="O61" i="1" s="1"/>
  <c r="L103" i="1"/>
  <c r="N103" i="1" s="1"/>
  <c r="O103" i="1" s="1"/>
  <c r="L20" i="1"/>
  <c r="N20" i="1" s="1"/>
  <c r="O20" i="1" s="1"/>
  <c r="T12" i="5" l="1"/>
  <c r="O20" i="4"/>
  <c r="P20" i="4" s="1"/>
  <c r="M36" i="5"/>
  <c r="B37" i="5"/>
  <c r="H37" i="5" s="1"/>
  <c r="M22" i="4"/>
  <c r="N21" i="4"/>
  <c r="K32" i="5" s="1"/>
  <c r="F117" i="1"/>
  <c r="F119" i="1"/>
  <c r="O21" i="4" l="1"/>
  <c r="P21" i="4" s="1"/>
  <c r="M37" i="5"/>
  <c r="B38" i="5"/>
  <c r="H38" i="5" s="1"/>
  <c r="M23" i="4"/>
  <c r="N22" i="4"/>
  <c r="T8" i="1"/>
  <c r="T9" i="1"/>
  <c r="T5" i="1"/>
  <c r="T6" i="1"/>
  <c r="T7" i="1"/>
  <c r="O22" i="4" l="1"/>
  <c r="P22" i="4" s="1"/>
  <c r="K33" i="5"/>
  <c r="M38" i="5"/>
  <c r="B39" i="5"/>
  <c r="H39" i="5" s="1"/>
  <c r="M39" i="5" s="1"/>
  <c r="M24" i="4"/>
  <c r="N23" i="4"/>
  <c r="O23" i="4" l="1"/>
  <c r="P23" i="4" s="1"/>
  <c r="K34" i="5"/>
  <c r="B40" i="5"/>
  <c r="H40" i="5" s="1"/>
  <c r="M40" i="5" s="1"/>
  <c r="M25" i="4"/>
  <c r="N24" i="4"/>
  <c r="O24" i="4" l="1"/>
  <c r="P24" i="4" s="1"/>
  <c r="K35" i="5"/>
  <c r="B41" i="5"/>
  <c r="H41" i="5" s="1"/>
  <c r="M26" i="4"/>
  <c r="N25" i="4"/>
  <c r="S13" i="5" l="1"/>
  <c r="T13" i="5"/>
  <c r="O25" i="4"/>
  <c r="P25" i="4" s="1"/>
  <c r="K36" i="5"/>
  <c r="M41" i="5"/>
  <c r="B42" i="5"/>
  <c r="H42" i="5" s="1"/>
  <c r="M42" i="5" s="1"/>
  <c r="M27" i="4"/>
  <c r="N26" i="4"/>
  <c r="O26" i="4" l="1"/>
  <c r="P26" i="4" s="1"/>
  <c r="K37" i="5"/>
  <c r="B43" i="5"/>
  <c r="H43" i="5" s="1"/>
  <c r="N27" i="4"/>
  <c r="M28" i="4"/>
  <c r="O27" i="4" l="1"/>
  <c r="P27" i="4" s="1"/>
  <c r="K38" i="5"/>
  <c r="M43" i="5"/>
  <c r="B44" i="5"/>
  <c r="H44" i="5" s="1"/>
  <c r="M44" i="5" s="1"/>
  <c r="N28" i="4"/>
  <c r="M29" i="4"/>
  <c r="O28" i="4" l="1"/>
  <c r="P28" i="4" s="1"/>
  <c r="K39" i="5"/>
  <c r="B45" i="5"/>
  <c r="H45" i="5" s="1"/>
  <c r="M45" i="5" s="1"/>
  <c r="N29" i="4"/>
  <c r="M30" i="4"/>
  <c r="O29" i="4" l="1"/>
  <c r="P29" i="4" s="1"/>
  <c r="K40" i="5"/>
  <c r="B46" i="5"/>
  <c r="H46" i="5" s="1"/>
  <c r="M31" i="4"/>
  <c r="N30" i="4"/>
  <c r="O30" i="4" l="1"/>
  <c r="P30" i="4" s="1"/>
  <c r="K41" i="5"/>
  <c r="M46" i="5"/>
  <c r="B47" i="5"/>
  <c r="H47" i="5" s="1"/>
  <c r="M47" i="5" s="1"/>
  <c r="N31" i="4"/>
  <c r="M32" i="4"/>
  <c r="O31" i="4" l="1"/>
  <c r="P31" i="4" s="1"/>
  <c r="K42" i="5"/>
  <c r="B48" i="5"/>
  <c r="H48" i="5" s="1"/>
  <c r="M48" i="5" s="1"/>
  <c r="N32" i="4"/>
  <c r="M33" i="4"/>
  <c r="O32" i="4" l="1"/>
  <c r="P32" i="4" s="1"/>
  <c r="K43" i="5"/>
  <c r="B49" i="5"/>
  <c r="H49" i="5" s="1"/>
  <c r="N33" i="4"/>
  <c r="M34" i="4"/>
  <c r="S14" i="5" l="1"/>
  <c r="T14" i="5"/>
  <c r="O33" i="4"/>
  <c r="P33" i="4" s="1"/>
  <c r="K44" i="5"/>
  <c r="M49" i="5"/>
  <c r="B50" i="5"/>
  <c r="H50" i="5" s="1"/>
  <c r="M50" i="5" s="1"/>
  <c r="M35" i="4"/>
  <c r="N34" i="4"/>
  <c r="O34" i="4" l="1"/>
  <c r="P34" i="4" s="1"/>
  <c r="K45" i="5"/>
  <c r="B51" i="5"/>
  <c r="H51" i="5" s="1"/>
  <c r="M36" i="4"/>
  <c r="N35" i="4"/>
  <c r="O35" i="4" l="1"/>
  <c r="P35" i="4" s="1"/>
  <c r="K46" i="5"/>
  <c r="M51" i="5"/>
  <c r="B52" i="5"/>
  <c r="H52" i="5" s="1"/>
  <c r="M52" i="5" s="1"/>
  <c r="N36" i="4"/>
  <c r="M37" i="4"/>
  <c r="O36" i="4" l="1"/>
  <c r="P36" i="4" s="1"/>
  <c r="K47" i="5"/>
  <c r="B53" i="5"/>
  <c r="H53" i="5" s="1"/>
  <c r="N37" i="4"/>
  <c r="M38" i="4"/>
  <c r="O37" i="4" l="1"/>
  <c r="P37" i="4" s="1"/>
  <c r="K48" i="5"/>
  <c r="M53" i="5"/>
  <c r="B54" i="5"/>
  <c r="H54" i="5" s="1"/>
  <c r="N38" i="4"/>
  <c r="M39" i="4"/>
  <c r="O38" i="4" l="1"/>
  <c r="P38" i="4" s="1"/>
  <c r="K49" i="5"/>
  <c r="M54" i="5"/>
  <c r="B55" i="5"/>
  <c r="H55" i="5" s="1"/>
  <c r="M55" i="5" s="1"/>
  <c r="N39" i="4"/>
  <c r="M40" i="4"/>
  <c r="O39" i="4" l="1"/>
  <c r="P39" i="4" s="1"/>
  <c r="K50" i="5"/>
  <c r="B56" i="5"/>
  <c r="H56" i="5" s="1"/>
  <c r="M41" i="4"/>
  <c r="N40" i="4"/>
  <c r="O40" i="4" l="1"/>
  <c r="P40" i="4" s="1"/>
  <c r="K51" i="5"/>
  <c r="M56" i="5"/>
  <c r="B57" i="5"/>
  <c r="H57" i="5" s="1"/>
  <c r="M42" i="4"/>
  <c r="N41" i="4"/>
  <c r="S15" i="5" l="1"/>
  <c r="T15" i="5"/>
  <c r="O41" i="4"/>
  <c r="P41" i="4" s="1"/>
  <c r="K52" i="5"/>
  <c r="M57" i="5"/>
  <c r="B58" i="5"/>
  <c r="H58" i="5" s="1"/>
  <c r="M58" i="5" s="1"/>
  <c r="M43" i="4"/>
  <c r="N42" i="4"/>
  <c r="O42" i="4" l="1"/>
  <c r="P42" i="4" s="1"/>
  <c r="K53" i="5"/>
  <c r="B59" i="5"/>
  <c r="H59" i="5" s="1"/>
  <c r="M44" i="4"/>
  <c r="N43" i="4"/>
  <c r="O43" i="4" l="1"/>
  <c r="P43" i="4" s="1"/>
  <c r="K54" i="5"/>
  <c r="M59" i="5"/>
  <c r="B60" i="5"/>
  <c r="H60" i="5" s="1"/>
  <c r="M60" i="5" s="1"/>
  <c r="N44" i="4"/>
  <c r="M45" i="4"/>
  <c r="O44" i="4" l="1"/>
  <c r="P44" i="4" s="1"/>
  <c r="K55" i="5"/>
  <c r="B61" i="5"/>
  <c r="H61" i="5" s="1"/>
  <c r="M46" i="4"/>
  <c r="N45" i="4"/>
  <c r="O45" i="4" l="1"/>
  <c r="P45" i="4" s="1"/>
  <c r="K56" i="5"/>
  <c r="M61" i="5"/>
  <c r="B62" i="5"/>
  <c r="H62" i="5" s="1"/>
  <c r="M62" i="5" s="1"/>
  <c r="M47" i="4"/>
  <c r="N46" i="4"/>
  <c r="O46" i="4" l="1"/>
  <c r="P46" i="4" s="1"/>
  <c r="K57" i="5"/>
  <c r="B63" i="5"/>
  <c r="H63" i="5" s="1"/>
  <c r="M48" i="4"/>
  <c r="N47" i="4"/>
  <c r="O47" i="4" l="1"/>
  <c r="P47" i="4" s="1"/>
  <c r="K58" i="5"/>
  <c r="M63" i="5"/>
  <c r="B64" i="5"/>
  <c r="H64" i="5" s="1"/>
  <c r="M64" i="5" s="1"/>
  <c r="M49" i="4"/>
  <c r="N48" i="4"/>
  <c r="O48" i="4" l="1"/>
  <c r="P48" i="4" s="1"/>
  <c r="K59" i="5"/>
  <c r="B65" i="5"/>
  <c r="H65" i="5" s="1"/>
  <c r="M65" i="5" s="1"/>
  <c r="N49" i="4"/>
  <c r="M50" i="4"/>
  <c r="T16" i="5" l="1"/>
  <c r="S16" i="5"/>
  <c r="O49" i="4"/>
  <c r="P49" i="4" s="1"/>
  <c r="K60" i="5"/>
  <c r="B66" i="5"/>
  <c r="H66" i="5" s="1"/>
  <c r="M66" i="5" s="1"/>
  <c r="M51" i="4"/>
  <c r="N50" i="4"/>
  <c r="O50" i="4" l="1"/>
  <c r="P50" i="4" s="1"/>
  <c r="K61" i="5"/>
  <c r="B67" i="5"/>
  <c r="H67" i="5" s="1"/>
  <c r="M52" i="4"/>
  <c r="N51" i="4"/>
  <c r="O51" i="4" l="1"/>
  <c r="P51" i="4" s="1"/>
  <c r="K62" i="5"/>
  <c r="M67" i="5"/>
  <c r="B68" i="5"/>
  <c r="H68" i="5" s="1"/>
  <c r="M68" i="5" s="1"/>
  <c r="M53" i="4"/>
  <c r="N52" i="4"/>
  <c r="O52" i="4" l="1"/>
  <c r="P52" i="4" s="1"/>
  <c r="K63" i="5"/>
  <c r="B69" i="5"/>
  <c r="H69" i="5" s="1"/>
  <c r="M69" i="5" s="1"/>
  <c r="M54" i="4"/>
  <c r="N53" i="4"/>
  <c r="O53" i="4" l="1"/>
  <c r="P53" i="4" s="1"/>
  <c r="K64" i="5"/>
  <c r="B70" i="5"/>
  <c r="H70" i="5" s="1"/>
  <c r="M55" i="4"/>
  <c r="N54" i="4"/>
  <c r="O54" i="4" l="1"/>
  <c r="P54" i="4" s="1"/>
  <c r="K65" i="5"/>
  <c r="M70" i="5"/>
  <c r="B71" i="5"/>
  <c r="H71" i="5" s="1"/>
  <c r="M71" i="5" s="1"/>
  <c r="N55" i="4"/>
  <c r="M56" i="4"/>
  <c r="O55" i="4" l="1"/>
  <c r="P55" i="4" s="1"/>
  <c r="K66" i="5"/>
  <c r="B72" i="5"/>
  <c r="H72" i="5" s="1"/>
  <c r="M72" i="5" s="1"/>
  <c r="M57" i="4"/>
  <c r="N56" i="4"/>
  <c r="O56" i="4" l="1"/>
  <c r="P56" i="4" s="1"/>
  <c r="K67" i="5"/>
  <c r="B73" i="5"/>
  <c r="H73" i="5" s="1"/>
  <c r="M73" i="5" s="1"/>
  <c r="M58" i="4"/>
  <c r="N57" i="4"/>
  <c r="T17" i="5" l="1"/>
  <c r="S17" i="5"/>
  <c r="O57" i="4"/>
  <c r="P57" i="4" s="1"/>
  <c r="K68" i="5"/>
  <c r="B74" i="5"/>
  <c r="H74" i="5" s="1"/>
  <c r="M74" i="5" s="1"/>
  <c r="M59" i="4"/>
  <c r="N58" i="4"/>
  <c r="O58" i="4" l="1"/>
  <c r="P58" i="4" s="1"/>
  <c r="K69" i="5"/>
  <c r="B75" i="5"/>
  <c r="H75" i="5" s="1"/>
  <c r="M60" i="4"/>
  <c r="N59" i="4"/>
  <c r="O59" i="4" l="1"/>
  <c r="P59" i="4" s="1"/>
  <c r="K70" i="5"/>
  <c r="M75" i="5"/>
  <c r="B76" i="5"/>
  <c r="H76" i="5" s="1"/>
  <c r="M76" i="5" s="1"/>
  <c r="M61" i="4"/>
  <c r="N60" i="4"/>
  <c r="O60" i="4" l="1"/>
  <c r="P60" i="4" s="1"/>
  <c r="K71" i="5"/>
  <c r="B77" i="5"/>
  <c r="H77" i="5" s="1"/>
  <c r="M62" i="4"/>
  <c r="N61" i="4"/>
  <c r="O61" i="4" l="1"/>
  <c r="P61" i="4" s="1"/>
  <c r="K72" i="5"/>
  <c r="M77" i="5"/>
  <c r="B78" i="5"/>
  <c r="H78" i="5" s="1"/>
  <c r="M78" i="5" s="1"/>
  <c r="M63" i="4"/>
  <c r="N62" i="4"/>
  <c r="O62" i="4" l="1"/>
  <c r="P62" i="4" s="1"/>
  <c r="K73" i="5"/>
  <c r="B79" i="5"/>
  <c r="H79" i="5" s="1"/>
  <c r="M79" i="5" s="1"/>
  <c r="M64" i="4"/>
  <c r="N63" i="4"/>
  <c r="O63" i="4" l="1"/>
  <c r="P63" i="4" s="1"/>
  <c r="K74" i="5"/>
  <c r="B80" i="5"/>
  <c r="H80" i="5" s="1"/>
  <c r="M80" i="5" s="1"/>
  <c r="M65" i="4"/>
  <c r="N64" i="4"/>
  <c r="O64" i="4" l="1"/>
  <c r="P64" i="4" s="1"/>
  <c r="K75" i="5"/>
  <c r="B81" i="5"/>
  <c r="H81" i="5" s="1"/>
  <c r="M81" i="5" s="1"/>
  <c r="M66" i="4"/>
  <c r="N65" i="4"/>
  <c r="T18" i="5" l="1"/>
  <c r="S18" i="5"/>
  <c r="O65" i="4"/>
  <c r="P65" i="4" s="1"/>
  <c r="K76" i="5"/>
  <c r="B82" i="5"/>
  <c r="H82" i="5" s="1"/>
  <c r="M82" i="5" s="1"/>
  <c r="M67" i="4"/>
  <c r="N66" i="4"/>
  <c r="O66" i="4" l="1"/>
  <c r="P66" i="4" s="1"/>
  <c r="K77" i="5"/>
  <c r="B83" i="5"/>
  <c r="H83" i="5" s="1"/>
  <c r="M68" i="4"/>
  <c r="N67" i="4"/>
  <c r="O67" i="4" l="1"/>
  <c r="P67" i="4" s="1"/>
  <c r="K78" i="5"/>
  <c r="M83" i="5"/>
  <c r="B84" i="5"/>
  <c r="H84" i="5" s="1"/>
  <c r="M84" i="5" s="1"/>
  <c r="M69" i="4"/>
  <c r="N68" i="4"/>
  <c r="O68" i="4" l="1"/>
  <c r="P68" i="4" s="1"/>
  <c r="K79" i="5"/>
  <c r="B85" i="5"/>
  <c r="H85" i="5" s="1"/>
  <c r="M85" i="5" s="1"/>
  <c r="M70" i="4"/>
  <c r="N69" i="4"/>
  <c r="O69" i="4" l="1"/>
  <c r="P69" i="4" s="1"/>
  <c r="K80" i="5"/>
  <c r="B86" i="5"/>
  <c r="H86" i="5" s="1"/>
  <c r="M86" i="5" s="1"/>
  <c r="M71" i="4"/>
  <c r="N70" i="4"/>
  <c r="O70" i="4" l="1"/>
  <c r="P70" i="4" s="1"/>
  <c r="K81" i="5"/>
  <c r="B87" i="5"/>
  <c r="H87" i="5" s="1"/>
  <c r="M87" i="5" s="1"/>
  <c r="M72" i="4"/>
  <c r="N71" i="4"/>
  <c r="O71" i="4" l="1"/>
  <c r="P71" i="4" s="1"/>
  <c r="K82" i="5"/>
  <c r="B88" i="5"/>
  <c r="H88" i="5" s="1"/>
  <c r="M88" i="5" s="1"/>
  <c r="M73" i="4"/>
  <c r="N72" i="4"/>
  <c r="O72" i="4" l="1"/>
  <c r="P72" i="4" s="1"/>
  <c r="K83" i="5"/>
  <c r="B89" i="5"/>
  <c r="H89" i="5" s="1"/>
  <c r="M89" i="5" s="1"/>
  <c r="M74" i="4"/>
  <c r="N73" i="4"/>
  <c r="T19" i="5" l="1"/>
  <c r="S19" i="5"/>
  <c r="O73" i="4"/>
  <c r="P73" i="4" s="1"/>
  <c r="K84" i="5"/>
  <c r="B90" i="5"/>
  <c r="H90" i="5" s="1"/>
  <c r="M90" i="5" s="1"/>
  <c r="M75" i="4"/>
  <c r="N74" i="4"/>
  <c r="O74" i="4" l="1"/>
  <c r="P74" i="4" s="1"/>
  <c r="K85" i="5"/>
  <c r="B91" i="5"/>
  <c r="H91" i="5" s="1"/>
  <c r="M91" i="5" s="1"/>
  <c r="M76" i="4"/>
  <c r="N75" i="4"/>
  <c r="O75" i="4" l="1"/>
  <c r="P75" i="4" s="1"/>
  <c r="K86" i="5"/>
  <c r="B92" i="5"/>
  <c r="H92" i="5" s="1"/>
  <c r="M92" i="5" s="1"/>
  <c r="M77" i="4"/>
  <c r="N76" i="4"/>
  <c r="O76" i="4" l="1"/>
  <c r="P76" i="4" s="1"/>
  <c r="K87" i="5"/>
  <c r="B93" i="5"/>
  <c r="H93" i="5" s="1"/>
  <c r="M93" i="5" s="1"/>
  <c r="M78" i="4"/>
  <c r="N77" i="4"/>
  <c r="O77" i="4" l="1"/>
  <c r="P77" i="4" s="1"/>
  <c r="K88" i="5"/>
  <c r="B94" i="5"/>
  <c r="H94" i="5" s="1"/>
  <c r="M94" i="5" s="1"/>
  <c r="M79" i="4"/>
  <c r="N78" i="4"/>
  <c r="O78" i="4" l="1"/>
  <c r="P78" i="4" s="1"/>
  <c r="K89" i="5"/>
  <c r="B95" i="5"/>
  <c r="H95" i="5" s="1"/>
  <c r="M95" i="5" s="1"/>
  <c r="M80" i="4"/>
  <c r="N79" i="4"/>
  <c r="O79" i="4" l="1"/>
  <c r="P79" i="4" s="1"/>
  <c r="K90" i="5"/>
  <c r="B96" i="5"/>
  <c r="H96" i="5" s="1"/>
  <c r="M96" i="5" s="1"/>
  <c r="M81" i="4"/>
  <c r="N80" i="4"/>
  <c r="O80" i="4" l="1"/>
  <c r="P80" i="4" s="1"/>
  <c r="K91" i="5"/>
  <c r="B97" i="5"/>
  <c r="H97" i="5" s="1"/>
  <c r="M97" i="5" s="1"/>
  <c r="N81" i="4"/>
  <c r="M82" i="4"/>
  <c r="O81" i="4" l="1"/>
  <c r="P81" i="4" s="1"/>
  <c r="K92" i="5"/>
  <c r="B98" i="5"/>
  <c r="H98" i="5" s="1"/>
  <c r="M98" i="5" s="1"/>
  <c r="M83" i="4"/>
  <c r="N82" i="4"/>
  <c r="O82" i="4" l="1"/>
  <c r="P82" i="4" s="1"/>
  <c r="K93" i="5"/>
  <c r="B99" i="5"/>
  <c r="H99" i="5" s="1"/>
  <c r="M99" i="5" s="1"/>
  <c r="N83" i="4"/>
  <c r="M84" i="4"/>
  <c r="O83" i="4" l="1"/>
  <c r="P83" i="4" s="1"/>
  <c r="K94" i="5"/>
  <c r="B100" i="5"/>
  <c r="H100" i="5" s="1"/>
  <c r="M100" i="5" s="1"/>
  <c r="M85" i="4"/>
  <c r="N84" i="4"/>
  <c r="O84" i="4" l="1"/>
  <c r="P84" i="4" s="1"/>
  <c r="K95" i="5"/>
  <c r="B101" i="5"/>
  <c r="H101" i="5" s="1"/>
  <c r="M101" i="5" s="1"/>
  <c r="M86" i="4"/>
  <c r="N85" i="4"/>
  <c r="O85" i="4" l="1"/>
  <c r="P85" i="4" s="1"/>
  <c r="K96" i="5"/>
  <c r="B102" i="5"/>
  <c r="H102" i="5" s="1"/>
  <c r="M102" i="5" s="1"/>
  <c r="N86" i="4"/>
  <c r="M87" i="4"/>
  <c r="O86" i="4" l="1"/>
  <c r="P86" i="4" s="1"/>
  <c r="K97" i="5"/>
  <c r="B103" i="5"/>
  <c r="H103" i="5" s="1"/>
  <c r="M103" i="5" s="1"/>
  <c r="M88" i="4"/>
  <c r="N87" i="4"/>
  <c r="O87" i="4" l="1"/>
  <c r="P87" i="4" s="1"/>
  <c r="K98" i="5"/>
  <c r="B104" i="5"/>
  <c r="H104" i="5" s="1"/>
  <c r="M104" i="5" s="1"/>
  <c r="M89" i="4"/>
  <c r="N88" i="4"/>
  <c r="O88" i="4" l="1"/>
  <c r="P88" i="4" s="1"/>
  <c r="K99" i="5"/>
  <c r="B105" i="5"/>
  <c r="H105" i="5" s="1"/>
  <c r="M105" i="5" s="1"/>
  <c r="N89" i="4"/>
  <c r="M90" i="4"/>
  <c r="O89" i="4" l="1"/>
  <c r="P89" i="4" s="1"/>
  <c r="K100" i="5"/>
  <c r="B106" i="5"/>
  <c r="H106" i="5" s="1"/>
  <c r="M106" i="5" s="1"/>
  <c r="M91" i="4"/>
  <c r="N90" i="4"/>
  <c r="O90" i="4" l="1"/>
  <c r="P90" i="4" s="1"/>
  <c r="K101" i="5"/>
  <c r="B107" i="5"/>
  <c r="H107" i="5" s="1"/>
  <c r="M107" i="5" s="1"/>
  <c r="M92" i="4"/>
  <c r="N91" i="4"/>
  <c r="O91" i="4" l="1"/>
  <c r="P91" i="4" s="1"/>
  <c r="K102" i="5"/>
  <c r="B108" i="5"/>
  <c r="H108" i="5" s="1"/>
  <c r="M108" i="5" s="1"/>
  <c r="N92" i="4"/>
  <c r="M93" i="4"/>
  <c r="O92" i="4" l="1"/>
  <c r="P92" i="4" s="1"/>
  <c r="K103" i="5"/>
  <c r="B109" i="5"/>
  <c r="H109" i="5" s="1"/>
  <c r="M109" i="5" s="1"/>
  <c r="M94" i="4"/>
  <c r="N93" i="4"/>
  <c r="O93" i="4" l="1"/>
  <c r="P93" i="4" s="1"/>
  <c r="K104" i="5"/>
  <c r="B110" i="5"/>
  <c r="H110" i="5" s="1"/>
  <c r="M110" i="5" s="1"/>
  <c r="N94" i="4"/>
  <c r="M95" i="4"/>
  <c r="O94" i="4" l="1"/>
  <c r="P94" i="4" s="1"/>
  <c r="K105" i="5"/>
  <c r="B111" i="5"/>
  <c r="H111" i="5" s="1"/>
  <c r="M111" i="5" s="1"/>
  <c r="M96" i="4"/>
  <c r="N95" i="4"/>
  <c r="O95" i="4" l="1"/>
  <c r="P95" i="4" s="1"/>
  <c r="K106" i="5"/>
  <c r="B112" i="5"/>
  <c r="H112" i="5" s="1"/>
  <c r="M112" i="5" s="1"/>
  <c r="N96" i="4"/>
  <c r="M97" i="4"/>
  <c r="O96" i="4" l="1"/>
  <c r="P96" i="4" s="1"/>
  <c r="K107" i="5"/>
  <c r="B113" i="5"/>
  <c r="H113" i="5" s="1"/>
  <c r="M113" i="5" s="1"/>
  <c r="M98" i="4"/>
  <c r="N97" i="4"/>
  <c r="O97" i="4" l="1"/>
  <c r="P97" i="4" s="1"/>
  <c r="K108" i="5"/>
  <c r="B114" i="5"/>
  <c r="H114" i="5" s="1"/>
  <c r="M114" i="5" s="1"/>
  <c r="N98" i="4"/>
  <c r="M99" i="4"/>
  <c r="O98" i="4" l="1"/>
  <c r="P98" i="4" s="1"/>
  <c r="K109" i="5"/>
  <c r="B115" i="5"/>
  <c r="H115" i="5" s="1"/>
  <c r="M115" i="5" s="1"/>
  <c r="M100" i="4"/>
  <c r="N99" i="4"/>
  <c r="O99" i="4" l="1"/>
  <c r="P99" i="4" s="1"/>
  <c r="K110" i="5"/>
  <c r="B116" i="5"/>
  <c r="H116" i="5" s="1"/>
  <c r="M116" i="5" s="1"/>
  <c r="N100" i="4"/>
  <c r="M101" i="4"/>
  <c r="O100" i="4" l="1"/>
  <c r="P100" i="4" s="1"/>
  <c r="K111" i="5"/>
  <c r="B117" i="5"/>
  <c r="H117" i="5" s="1"/>
  <c r="M117" i="5" s="1"/>
  <c r="M102" i="4"/>
  <c r="N101" i="4"/>
  <c r="O101" i="4" l="1"/>
  <c r="P101" i="4" s="1"/>
  <c r="K112" i="5"/>
  <c r="B118" i="5"/>
  <c r="H118" i="5" s="1"/>
  <c r="M118" i="5" s="1"/>
  <c r="M103" i="4"/>
  <c r="N102" i="4"/>
  <c r="O102" i="4" l="1"/>
  <c r="P102" i="4" s="1"/>
  <c r="K113" i="5"/>
  <c r="B119" i="5"/>
  <c r="H119" i="5" s="1"/>
  <c r="M119" i="5" s="1"/>
  <c r="M104" i="4"/>
  <c r="N103" i="4"/>
  <c r="O103" i="4" l="1"/>
  <c r="P103" i="4" s="1"/>
  <c r="K114" i="5"/>
  <c r="B120" i="5"/>
  <c r="H120" i="5" s="1"/>
  <c r="M120" i="5" s="1"/>
  <c r="N104" i="4"/>
  <c r="M105" i="4"/>
  <c r="O104" i="4" l="1"/>
  <c r="P104" i="4" s="1"/>
  <c r="K115" i="5"/>
  <c r="B121" i="5"/>
  <c r="H121" i="5" s="1"/>
  <c r="M121" i="5" s="1"/>
  <c r="M106" i="4"/>
  <c r="N105" i="4"/>
  <c r="O105" i="4" l="1"/>
  <c r="P105" i="4" s="1"/>
  <c r="K116" i="5"/>
  <c r="B122" i="5"/>
  <c r="H122" i="5" s="1"/>
  <c r="M122" i="5" s="1"/>
  <c r="M107" i="4"/>
  <c r="N106" i="4"/>
  <c r="O106" i="4" l="1"/>
  <c r="P106" i="4" s="1"/>
  <c r="K117" i="5"/>
  <c r="B123" i="5"/>
  <c r="H123" i="5" s="1"/>
  <c r="M123" i="5" s="1"/>
  <c r="N107" i="4"/>
  <c r="M108" i="4"/>
  <c r="O107" i="4" l="1"/>
  <c r="P107" i="4" s="1"/>
  <c r="K118" i="5"/>
  <c r="B124" i="5"/>
  <c r="H124" i="5" s="1"/>
  <c r="M124" i="5" s="1"/>
  <c r="N108" i="4"/>
  <c r="M109" i="4"/>
  <c r="O108" i="4" l="1"/>
  <c r="P108" i="4" s="1"/>
  <c r="K119" i="5"/>
  <c r="B125" i="5"/>
  <c r="H125" i="5" s="1"/>
  <c r="M125" i="5" s="1"/>
  <c r="M110" i="4"/>
  <c r="N109" i="4"/>
  <c r="O109" i="4" l="1"/>
  <c r="P109" i="4" s="1"/>
  <c r="K120" i="5"/>
  <c r="B126" i="5"/>
  <c r="H126" i="5" s="1"/>
  <c r="M126" i="5" s="1"/>
  <c r="N110" i="4"/>
  <c r="M111" i="4"/>
  <c r="O110" i="4" l="1"/>
  <c r="P110" i="4" s="1"/>
  <c r="K121" i="5"/>
  <c r="M112" i="4"/>
  <c r="N111" i="4"/>
  <c r="O111" i="4" l="1"/>
  <c r="P111" i="4" s="1"/>
  <c r="K122" i="5"/>
  <c r="M113" i="4"/>
  <c r="N112" i="4"/>
  <c r="O112" i="4" l="1"/>
  <c r="P112" i="4" s="1"/>
  <c r="K123" i="5"/>
  <c r="M114" i="4"/>
  <c r="N113" i="4"/>
  <c r="O113" i="4" l="1"/>
  <c r="P113" i="4" s="1"/>
  <c r="K124" i="5"/>
  <c r="M115" i="4"/>
  <c r="N114" i="4"/>
  <c r="F118" i="4"/>
  <c r="K119" i="4" s="1"/>
  <c r="O114" i="4" l="1"/>
  <c r="P114" i="4" s="1"/>
  <c r="K125" i="5"/>
  <c r="N115" i="4"/>
  <c r="F119" i="4" l="1"/>
  <c r="K126" i="5"/>
  <c r="O115" i="4"/>
  <c r="P115" i="4" s="1"/>
  <c r="F117" i="4"/>
</calcChain>
</file>

<file path=xl/sharedStrings.xml><?xml version="1.0" encoding="utf-8"?>
<sst xmlns="http://schemas.openxmlformats.org/spreadsheetml/2006/main" count="332" uniqueCount="174">
  <si>
    <t>et recalé sur les données Integral/IBIS/ISGRI (voir note 4)</t>
  </si>
  <si>
    <t>Le bruit interne est calculé à partir d'Armstrong et al. 99</t>
  </si>
  <si>
    <t>détecteurs SDD et CdTe</t>
  </si>
  <si>
    <t>(échelle non représentative)</t>
  </si>
  <si>
    <r>
      <t>W</t>
    </r>
    <r>
      <rPr>
        <sz val="9"/>
        <rFont val="Arial"/>
        <family val="2"/>
      </rPr>
      <t xml:space="preserve"> mirroir : </t>
    </r>
  </si>
  <si>
    <r>
      <t>W</t>
    </r>
    <r>
      <rPr>
        <sz val="9"/>
        <rFont val="Arial"/>
        <family val="2"/>
      </rPr>
      <t xml:space="preserve"> jupe : </t>
    </r>
  </si>
  <si>
    <r>
      <t>W</t>
    </r>
    <r>
      <rPr>
        <sz val="9"/>
        <rFont val="Arial"/>
        <family val="2"/>
      </rPr>
      <t xml:space="preserve"> collimateur : </t>
    </r>
  </si>
  <si>
    <r>
      <t xml:space="preserve">W </t>
    </r>
    <r>
      <rPr>
        <sz val="9"/>
        <rFont val="Arial"/>
        <family val="2"/>
      </rPr>
      <t xml:space="preserve">protégé collimateur : </t>
    </r>
  </si>
  <si>
    <r>
      <t>W</t>
    </r>
    <r>
      <rPr>
        <sz val="9"/>
        <rFont val="Arial"/>
        <family val="2"/>
      </rPr>
      <t xml:space="preserve"> non protégé : </t>
    </r>
  </si>
  <si>
    <t>champ de vue du mirroir</t>
  </si>
  <si>
    <t>champ protégé par le collimateur</t>
  </si>
  <si>
    <t>champ non protégé par la jupe ou le collimateur</t>
  </si>
  <si>
    <t>(devrait être zéro)</t>
  </si>
  <si>
    <t>champ protégé par la jupe</t>
  </si>
  <si>
    <t>note 2 :</t>
  </si>
  <si>
    <t>le diamètre d'intégration est le diamètre de la tache où l'on</t>
  </si>
  <si>
    <t>(valeur à étalonner en fonction des propriétés du mirroir)</t>
  </si>
  <si>
    <t xml:space="preserve">note 3 : </t>
  </si>
  <si>
    <t>La sensibilité est calculée à S/N sigmas, en tobs secondes, pour</t>
  </si>
  <si>
    <r>
      <t>D</t>
    </r>
    <r>
      <rPr>
        <sz val="9"/>
        <rFont val="Arial"/>
        <family val="2"/>
      </rPr>
      <t>E/E</t>
    </r>
  </si>
  <si>
    <t xml:space="preserve">note 4 : </t>
  </si>
  <si>
    <t>Le bruit interne peut être recalé sur le bruit ISGRI (voir feuille bruit interne)</t>
  </si>
  <si>
    <t xml:space="preserve">Si la pondération est égale à 1, on obtient le bruit d'Armstrong et al. 99. </t>
  </si>
  <si>
    <t xml:space="preserve">Si on choisit la pondération proposée, le bruit interne total est </t>
  </si>
  <si>
    <t>identique à celui d'Armstrong).</t>
  </si>
  <si>
    <t>équivalent à celui d'ISGRI (en supposant un spectre ISGRI</t>
  </si>
  <si>
    <r>
      <t xml:space="preserve">2*p - (W </t>
    </r>
    <r>
      <rPr>
        <sz val="9"/>
        <rFont val="Arial"/>
        <family val="2"/>
      </rPr>
      <t>protégé collimateur)</t>
    </r>
  </si>
  <si>
    <t>compte le nombre de photons provenant de la source pour construire</t>
  </si>
  <si>
    <t xml:space="preserve">l'image. Le pourcentage de photons par tache est le pourcentage de </t>
  </si>
  <si>
    <t>photons de la source se trouvant effectivement dans le diamètre d'intégration.</t>
  </si>
  <si>
    <r>
      <t>D</t>
    </r>
    <r>
      <rPr>
        <sz val="9"/>
        <rFont val="Geneva"/>
      </rPr>
      <t xml:space="preserve">E/E égal à </t>
    </r>
    <r>
      <rPr>
        <sz val="9"/>
        <rFont val="Symbol"/>
        <family val="1"/>
      </rPr>
      <t>D</t>
    </r>
    <r>
      <rPr>
        <sz val="9"/>
        <rFont val="Geneva"/>
      </rPr>
      <t>E/E.</t>
    </r>
  </si>
  <si>
    <t>voir la feuille "notes" pour les commentaires</t>
  </si>
  <si>
    <t>Cts/s/keV</t>
  </si>
  <si>
    <t>cm2</t>
  </si>
  <si>
    <t>keV</t>
  </si>
  <si>
    <t>Bruit interne</t>
  </si>
  <si>
    <t>Energie</t>
  </si>
  <si>
    <t>g/cm3</t>
  </si>
  <si>
    <t>stéradian</t>
  </si>
  <si>
    <t>rayon jupe</t>
  </si>
  <si>
    <t>cm</t>
  </si>
  <si>
    <t>distance focale</t>
  </si>
  <si>
    <t>(cm2/g)</t>
  </si>
  <si>
    <t>Fond diffus</t>
  </si>
  <si>
    <t>densité Si</t>
  </si>
  <si>
    <t>densité CdTe</t>
  </si>
  <si>
    <t>épaisseur Si</t>
  </si>
  <si>
    <t>épaisseur CdTe</t>
  </si>
  <si>
    <t>Bruit diffus</t>
  </si>
  <si>
    <t>Bruit total</t>
  </si>
  <si>
    <t>densité Pb</t>
  </si>
  <si>
    <t>total bruit diffus</t>
  </si>
  <si>
    <t>total bruit interne</t>
  </si>
  <si>
    <t>cps/s</t>
  </si>
  <si>
    <t>total bruit</t>
  </si>
  <si>
    <t>S/N</t>
  </si>
  <si>
    <t>densité Ta</t>
  </si>
  <si>
    <t>Tobs (s)</t>
  </si>
  <si>
    <t xml:space="preserve">bruit ISGRI : </t>
  </si>
  <si>
    <t>Emin :</t>
  </si>
  <si>
    <t>Emax :</t>
  </si>
  <si>
    <t xml:space="preserve">surface ISGRI : </t>
  </si>
  <si>
    <t>cm²</t>
  </si>
  <si>
    <t xml:space="preserve">bruit interne : </t>
  </si>
  <si>
    <t>cps/s/cm²/keV</t>
  </si>
  <si>
    <t>taille pixels</t>
  </si>
  <si>
    <t>bruit interne /ISGRI</t>
  </si>
  <si>
    <t>Emin CdTe</t>
  </si>
  <si>
    <t>Emax CdTe</t>
  </si>
  <si>
    <t>bruit interne</t>
  </si>
  <si>
    <t>cps/s/cm²</t>
  </si>
  <si>
    <t>cps/s/cm2</t>
  </si>
  <si>
    <t>nb pixels/tache</t>
  </si>
  <si>
    <t>pondération proposée</t>
  </si>
  <si>
    <t>bruit interne /ISGRI/tache focale</t>
  </si>
  <si>
    <t>tache focale</t>
  </si>
  <si>
    <t>hauteur collimateur</t>
  </si>
  <si>
    <t>rayon collimateur</t>
  </si>
  <si>
    <t>kg</t>
  </si>
  <si>
    <t>poids total shield</t>
  </si>
  <si>
    <t>poids collimateur</t>
  </si>
  <si>
    <t>poids jupe</t>
  </si>
  <si>
    <t xml:space="preserve">Surface </t>
  </si>
  <si>
    <t>mirroir</t>
  </si>
  <si>
    <t>Section</t>
  </si>
  <si>
    <t>efficace Ta</t>
  </si>
  <si>
    <t>efficace Pb</t>
  </si>
  <si>
    <t>fraction</t>
  </si>
  <si>
    <t>efficace Si</t>
  </si>
  <si>
    <t>efficace Cd</t>
  </si>
  <si>
    <t>efficacité</t>
  </si>
  <si>
    <t>détecteur</t>
  </si>
  <si>
    <t>Sensibilité</t>
  </si>
  <si>
    <t>ph/s/keV/cm2</t>
  </si>
  <si>
    <r>
      <t>W</t>
    </r>
    <r>
      <rPr>
        <sz val="9"/>
        <rFont val="Arial"/>
        <family val="2"/>
      </rPr>
      <t xml:space="preserve"> mirroir</t>
    </r>
  </si>
  <si>
    <r>
      <t>W</t>
    </r>
    <r>
      <rPr>
        <sz val="9"/>
        <rFont val="Arial"/>
        <family val="2"/>
      </rPr>
      <t xml:space="preserve"> jupe</t>
    </r>
  </si>
  <si>
    <r>
      <t xml:space="preserve">W </t>
    </r>
    <r>
      <rPr>
        <sz val="9"/>
        <rFont val="Arial"/>
        <family val="2"/>
      </rPr>
      <t>protégé collimateur</t>
    </r>
  </si>
  <si>
    <r>
      <t>W</t>
    </r>
    <r>
      <rPr>
        <sz val="9"/>
        <rFont val="Arial"/>
        <family val="2"/>
      </rPr>
      <t xml:space="preserve"> collimateur</t>
    </r>
  </si>
  <si>
    <r>
      <t>W</t>
    </r>
    <r>
      <rPr>
        <sz val="9"/>
        <rFont val="Arial"/>
        <family val="2"/>
      </rPr>
      <t xml:space="preserve"> non protégé</t>
    </r>
  </si>
  <si>
    <t>pondération choisie</t>
  </si>
  <si>
    <t>arcsec</t>
  </si>
  <si>
    <t>% photons/tache</t>
  </si>
  <si>
    <t>%</t>
  </si>
  <si>
    <t>diamètre intégration</t>
  </si>
  <si>
    <t>rayon miroir</t>
  </si>
  <si>
    <t>ph/s/cm2/keV/str</t>
  </si>
  <si>
    <t>satellite 2</t>
  </si>
  <si>
    <t>satellite 1</t>
  </si>
  <si>
    <t>collimateur en plomb</t>
  </si>
  <si>
    <t>CONFIGURATION UTILISEE</t>
  </si>
  <si>
    <t>jupe en tantale</t>
  </si>
  <si>
    <t>(voir note 3)</t>
  </si>
  <si>
    <t>(voir note 4)</t>
  </si>
  <si>
    <t xml:space="preserve">note 1 : </t>
  </si>
  <si>
    <t>note générale :</t>
  </si>
  <si>
    <t>la sensibilité est calculée en prenant en compte</t>
  </si>
  <si>
    <t xml:space="preserve"> l'efficacité des détecteurs, la collimation par le plomb et</t>
  </si>
  <si>
    <t>le tantale, le bruit interne dans la tache focale.</t>
  </si>
  <si>
    <t>Les valeurs modifiables sont entourées d'un cadre bleu;</t>
  </si>
  <si>
    <t>Les résultats de calcul sont en rouge sur fond jaune.</t>
  </si>
  <si>
    <r>
      <t xml:space="preserve">(voir note 1 pour le calcul des </t>
    </r>
    <r>
      <rPr>
        <sz val="9"/>
        <rFont val="Symbol"/>
        <family val="1"/>
      </rPr>
      <t>W</t>
    </r>
    <r>
      <rPr>
        <sz val="9"/>
        <rFont val="Arial"/>
        <family val="2"/>
      </rPr>
      <t>)</t>
    </r>
  </si>
  <si>
    <t>(voir note 2)</t>
  </si>
  <si>
    <t>Le fond diffus est donné par :</t>
  </si>
  <si>
    <t>min(167*E^-2.38;11,6*E^-1,41 ph/cm2/s/keV/str)</t>
  </si>
  <si>
    <t>ép. collimateur</t>
  </si>
  <si>
    <t>épaisseur jupe</t>
  </si>
  <si>
    <t>transmise collimateur</t>
  </si>
  <si>
    <t>transmise jupe</t>
  </si>
  <si>
    <t>SENSIBILITE/BRUIT DE FOND PHEMTO</t>
  </si>
  <si>
    <t>version 1.0</t>
  </si>
  <si>
    <t>rayon focal</t>
  </si>
  <si>
    <t>3-10 keV</t>
  </si>
  <si>
    <t>10-20 keV</t>
  </si>
  <si>
    <t>20-40 keV</t>
  </si>
  <si>
    <t>40-80 keV</t>
  </si>
  <si>
    <t>3-80 keV</t>
  </si>
  <si>
    <t>erg/s/cm2</t>
  </si>
  <si>
    <t>lentille</t>
  </si>
  <si>
    <t>Surface  mirroir</t>
  </si>
  <si>
    <t>Section efficace Ta</t>
  </si>
  <si>
    <t>Section efficace Pb</t>
  </si>
  <si>
    <t>fraction transmise collimateur</t>
  </si>
  <si>
    <t>efficacité détecteur</t>
  </si>
  <si>
    <t>Section efficace CdTe</t>
  </si>
  <si>
    <t>Section efficace Si</t>
  </si>
  <si>
    <t>fraction transmise jupe</t>
  </si>
  <si>
    <t>Crabe</t>
  </si>
  <si>
    <t>ph/s/cm2/keV</t>
  </si>
  <si>
    <t>Crabe total</t>
  </si>
  <si>
    <t>MDP</t>
  </si>
  <si>
    <t>mu_100</t>
  </si>
  <si>
    <t>MDP (%)</t>
  </si>
  <si>
    <t>Compton</t>
  </si>
  <si>
    <t>Fluence</t>
  </si>
  <si>
    <t>erg/cm2/s</t>
  </si>
  <si>
    <t>s</t>
  </si>
  <si>
    <t>Tobs</t>
  </si>
  <si>
    <t>50-76 keV</t>
  </si>
  <si>
    <t>energy band</t>
  </si>
  <si>
    <t xml:space="preserve">Crabe fluence </t>
  </si>
  <si>
    <t>Crab MDP</t>
  </si>
  <si>
    <t>Source MDP</t>
  </si>
  <si>
    <t>mean mu_100</t>
  </si>
  <si>
    <t>76-102 keV</t>
  </si>
  <si>
    <t>102-154 keV</t>
  </si>
  <si>
    <t>154-206 keV</t>
  </si>
  <si>
    <t>206-258 keV</t>
  </si>
  <si>
    <t>258-310 keV</t>
  </si>
  <si>
    <t>Mean Energy</t>
  </si>
  <si>
    <t>310-362 keV</t>
  </si>
  <si>
    <t>362-414 keV</t>
  </si>
  <si>
    <t>MDP (LENTILLE)</t>
  </si>
  <si>
    <t>Cts/s</t>
  </si>
  <si>
    <t>40-50 keV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</si>
</sst>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0.00000"/>
    <numFmt numFmtId="166" formatCode="0.000000"/>
    <numFmt numFmtId="167" formatCode="0.0000E+00"/>
    <numFmt numFmtId="168" formatCode="0.000E+00"/>
    <numFmt numFmtId="169" formatCode="0.000"/>
  </numFmts>
  <fonts count="14">
    <font>
      <sz val="9"/>
      <name val="Geneva"/>
    </font>
    <font>
      <sz val="10"/>
      <name val="Arial"/>
      <family val="2"/>
    </font>
    <font>
      <sz val="9"/>
      <name val="Arial"/>
      <family val="2"/>
    </font>
    <font>
      <sz val="9"/>
      <name val="Symbol"/>
      <family val="1"/>
    </font>
    <font>
      <sz val="14"/>
      <color indexed="10"/>
      <name val="Arial"/>
      <family val="2"/>
    </font>
    <font>
      <sz val="8"/>
      <name val="Arial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b/>
      <sz val="14"/>
      <color indexed="12"/>
      <name val="Geneva"/>
    </font>
    <font>
      <b/>
      <sz val="9"/>
      <color rgb="FFFF0000"/>
      <name val="Geneva"/>
    </font>
    <font>
      <sz val="9"/>
      <color rgb="FFFF0000"/>
      <name val="Arial"/>
      <family val="2"/>
    </font>
    <font>
      <sz val="9"/>
      <color rgb="FFFF0000"/>
      <name val="Geneva"/>
    </font>
    <font>
      <sz val="9"/>
      <color rgb="FF00B050"/>
      <name val="Arial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1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Border="1"/>
    <xf numFmtId="2" fontId="2" fillId="0" borderId="8" xfId="0" applyNumberFormat="1" applyFont="1" applyBorder="1"/>
    <xf numFmtId="2" fontId="2" fillId="0" borderId="0" xfId="0" applyNumberFormat="1" applyFont="1" applyBorder="1"/>
    <xf numFmtId="164" fontId="2" fillId="0" borderId="0" xfId="0" applyNumberFormat="1" applyFont="1" applyBorder="1"/>
    <xf numFmtId="11" fontId="2" fillId="0" borderId="0" xfId="0" applyNumberFormat="1" applyFont="1" applyBorder="1"/>
    <xf numFmtId="11" fontId="2" fillId="0" borderId="0" xfId="0" applyNumberFormat="1" applyFont="1" applyBorder="1" applyAlignment="1">
      <alignment horizontal="center"/>
    </xf>
    <xf numFmtId="2" fontId="0" fillId="0" borderId="0" xfId="0" applyNumberForma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0" fillId="0" borderId="10" xfId="0" applyNumberFormat="1" applyBorder="1"/>
    <xf numFmtId="11" fontId="2" fillId="0" borderId="10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0" borderId="0" xfId="0" applyFont="1"/>
    <xf numFmtId="0" fontId="2" fillId="0" borderId="20" xfId="0" applyFont="1" applyBorder="1"/>
    <xf numFmtId="164" fontId="6" fillId="3" borderId="0" xfId="0" applyNumberFormat="1" applyFont="1" applyFill="1"/>
    <xf numFmtId="0" fontId="6" fillId="3" borderId="0" xfId="0" applyFont="1" applyFill="1"/>
    <xf numFmtId="2" fontId="6" fillId="3" borderId="0" xfId="0" applyNumberFormat="1" applyFont="1" applyFill="1"/>
    <xf numFmtId="164" fontId="6" fillId="3" borderId="21" xfId="0" applyNumberFormat="1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center"/>
    </xf>
    <xf numFmtId="164" fontId="6" fillId="3" borderId="22" xfId="0" applyNumberFormat="1" applyFont="1" applyFill="1" applyBorder="1" applyAlignment="1">
      <alignment horizontal="center"/>
    </xf>
    <xf numFmtId="2" fontId="2" fillId="0" borderId="20" xfId="0" applyNumberFormat="1" applyFont="1" applyBorder="1"/>
    <xf numFmtId="0" fontId="7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6" fontId="0" fillId="0" borderId="0" xfId="0" applyNumberFormat="1"/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/>
    <xf numFmtId="0" fontId="0" fillId="0" borderId="0" xfId="0" applyBorder="1"/>
    <xf numFmtId="0" fontId="2" fillId="0" borderId="12" xfId="0" applyFont="1" applyBorder="1" applyAlignment="1">
      <alignment horizontal="center"/>
    </xf>
    <xf numFmtId="164" fontId="2" fillId="0" borderId="10" xfId="0" applyNumberFormat="1" applyFont="1" applyBorder="1"/>
    <xf numFmtId="11" fontId="2" fillId="0" borderId="10" xfId="0" applyNumberFormat="1" applyFont="1" applyBorder="1" applyAlignment="1">
      <alignment horizontal="center"/>
    </xf>
    <xf numFmtId="11" fontId="9" fillId="5" borderId="4" xfId="0" applyNumberFormat="1" applyFont="1" applyFill="1" applyBorder="1" applyAlignment="1">
      <alignment horizontal="center" vertical="center"/>
    </xf>
    <xf numFmtId="11" fontId="9" fillId="5" borderId="30" xfId="0" applyNumberFormat="1" applyFont="1" applyFill="1" applyBorder="1" applyAlignment="1">
      <alignment horizontal="center" vertical="center"/>
    </xf>
    <xf numFmtId="11" fontId="9" fillId="5" borderId="5" xfId="0" applyNumberFormat="1" applyFont="1" applyFill="1" applyBorder="1" applyAlignment="1">
      <alignment horizontal="center" vertical="center"/>
    </xf>
    <xf numFmtId="11" fontId="9" fillId="5" borderId="12" xfId="0" applyNumberFormat="1" applyFont="1" applyFill="1" applyBorder="1" applyAlignment="1">
      <alignment horizontal="center" vertical="center"/>
    </xf>
    <xf numFmtId="2" fontId="10" fillId="0" borderId="0" xfId="0" applyNumberFormat="1" applyFont="1" applyBorder="1"/>
    <xf numFmtId="2" fontId="10" fillId="0" borderId="10" xfId="0" applyNumberFormat="1" applyFont="1" applyBorder="1"/>
    <xf numFmtId="2" fontId="0" fillId="0" borderId="0" xfId="0" applyNumberFormat="1"/>
    <xf numFmtId="2" fontId="12" fillId="0" borderId="10" xfId="0" applyNumberFormat="1" applyFont="1" applyBorder="1"/>
    <xf numFmtId="2" fontId="12" fillId="0" borderId="0" xfId="0" applyNumberFormat="1" applyFont="1" applyBorder="1"/>
    <xf numFmtId="0" fontId="12" fillId="0" borderId="0" xfId="0" applyFont="1"/>
    <xf numFmtId="167" fontId="2" fillId="0" borderId="0" xfId="0" applyNumberFormat="1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2" fontId="11" fillId="0" borderId="0" xfId="0" applyNumberFormat="1" applyFont="1" applyBorder="1"/>
    <xf numFmtId="0" fontId="2" fillId="0" borderId="12" xfId="0" applyFont="1" applyBorder="1" applyAlignment="1">
      <alignment horizontal="center"/>
    </xf>
    <xf numFmtId="11" fontId="2" fillId="0" borderId="29" xfId="0" applyNumberFormat="1" applyFont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11" fontId="2" fillId="0" borderId="11" xfId="0" applyNumberFormat="1" applyFont="1" applyBorder="1" applyAlignment="1">
      <alignment horizontal="center"/>
    </xf>
    <xf numFmtId="0" fontId="6" fillId="4" borderId="0" xfId="0" applyFont="1" applyFill="1"/>
    <xf numFmtId="2" fontId="6" fillId="4" borderId="0" xfId="0" applyNumberFormat="1" applyFont="1" applyFill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0" fontId="0" fillId="4" borderId="0" xfId="0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11" fontId="9" fillId="4" borderId="0" xfId="0" applyNumberFormat="1" applyFont="1" applyFill="1" applyBorder="1" applyAlignment="1">
      <alignment horizontal="center" vertical="center"/>
    </xf>
    <xf numFmtId="0" fontId="2" fillId="4" borderId="32" xfId="0" applyFont="1" applyFill="1" applyBorder="1"/>
    <xf numFmtId="0" fontId="0" fillId="4" borderId="32" xfId="0" applyFill="1" applyBorder="1"/>
    <xf numFmtId="0" fontId="2" fillId="4" borderId="32" xfId="0" applyFont="1" applyFill="1" applyBorder="1" applyAlignment="1">
      <alignment horizontal="center"/>
    </xf>
    <xf numFmtId="168" fontId="2" fillId="0" borderId="0" xfId="0" applyNumberFormat="1" applyFont="1" applyBorder="1"/>
    <xf numFmtId="2" fontId="2" fillId="0" borderId="0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68" fontId="2" fillId="0" borderId="10" xfId="0" applyNumberFormat="1" applyFont="1" applyBorder="1"/>
    <xf numFmtId="0" fontId="2" fillId="2" borderId="30" xfId="0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30" xfId="0" applyNumberFormat="1" applyFont="1" applyFill="1" applyBorder="1" applyAlignment="1">
      <alignment horizontal="center" vertical="center" wrapText="1"/>
    </xf>
    <xf numFmtId="0" fontId="6" fillId="4" borderId="32" xfId="0" applyFont="1" applyFill="1" applyBorder="1"/>
    <xf numFmtId="0" fontId="3" fillId="4" borderId="32" xfId="0" applyFont="1" applyFill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34" xfId="0" applyFont="1" applyFill="1" applyBorder="1"/>
    <xf numFmtId="11" fontId="2" fillId="0" borderId="20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11" fontId="13" fillId="5" borderId="12" xfId="0" applyNumberFormat="1" applyFont="1" applyFill="1" applyBorder="1" applyAlignment="1">
      <alignment horizontal="center" vertical="center"/>
    </xf>
    <xf numFmtId="2" fontId="13" fillId="5" borderId="12" xfId="0" applyNumberFormat="1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4" borderId="33" xfId="0" applyFont="1" applyFill="1" applyBorder="1" applyAlignme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2" fontId="2" fillId="4" borderId="1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69" fontId="9" fillId="5" borderId="12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vertical="center"/>
    </xf>
    <xf numFmtId="2" fontId="2" fillId="0" borderId="0" xfId="0" applyNumberFormat="1" applyFont="1"/>
    <xf numFmtId="165" fontId="0" fillId="0" borderId="0" xfId="0" applyNumberFormat="1" applyBorder="1"/>
    <xf numFmtId="169" fontId="2" fillId="0" borderId="0" xfId="0" applyNumberFormat="1" applyFont="1"/>
    <xf numFmtId="169" fontId="2" fillId="0" borderId="0" xfId="0" applyNumberFormat="1" applyFont="1" applyBorder="1"/>
    <xf numFmtId="2" fontId="2" fillId="0" borderId="31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11" fontId="0" fillId="0" borderId="31" xfId="0" applyNumberFormat="1" applyBorder="1" applyAlignment="1">
      <alignment horizontal="right"/>
    </xf>
    <xf numFmtId="11" fontId="0" fillId="0" borderId="0" xfId="0" applyNumberFormat="1" applyBorder="1" applyAlignment="1">
      <alignment horizontal="right"/>
    </xf>
    <xf numFmtId="0" fontId="0" fillId="0" borderId="12" xfId="0" applyBorder="1"/>
    <xf numFmtId="0" fontId="2" fillId="0" borderId="0" xfId="0" applyFont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2" fontId="2" fillId="0" borderId="6" xfId="0" applyNumberFormat="1" applyFont="1" applyBorder="1"/>
    <xf numFmtId="2" fontId="2" fillId="0" borderId="31" xfId="0" applyNumberFormat="1" applyFont="1" applyBorder="1"/>
    <xf numFmtId="2" fontId="0" fillId="0" borderId="31" xfId="0" applyNumberFormat="1" applyBorder="1"/>
    <xf numFmtId="164" fontId="2" fillId="0" borderId="31" xfId="0" applyNumberFormat="1" applyFont="1" applyBorder="1"/>
    <xf numFmtId="11" fontId="2" fillId="0" borderId="31" xfId="0" applyNumberFormat="1" applyFont="1" applyBorder="1"/>
    <xf numFmtId="11" fontId="2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sensibilité PHEMTO mirroir</a:t>
            </a:r>
          </a:p>
        </c:rich>
      </c:tx>
      <c:layout>
        <c:manualLayout>
          <c:xMode val="edge"/>
          <c:yMode val="edge"/>
          <c:x val="0.23053089954664754"/>
          <c:y val="4.228855721393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99809114769745"/>
          <c:y val="0.17412977624032241"/>
          <c:w val="0.80674087329992838"/>
          <c:h val="0.65920558148122055"/>
        </c:manualLayout>
      </c:layout>
      <c:lineChart>
        <c:grouping val="standard"/>
        <c:varyColors val="0"/>
        <c:ser>
          <c:idx val="1"/>
          <c:order val="0"/>
          <c:tx>
            <c:v>sensibilité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'Calculs mirroir'!$B$17:$B$115</c:f>
              <c:numCache>
                <c:formatCode>0.00</c:formatCode>
                <c:ptCount val="99"/>
                <c:pt idx="0">
                  <c:v>1.6060606100000001</c:v>
                </c:pt>
                <c:pt idx="1">
                  <c:v>2.4090909100000002</c:v>
                </c:pt>
                <c:pt idx="2">
                  <c:v>3.2121212099999998</c:v>
                </c:pt>
                <c:pt idx="3">
                  <c:v>4.0151515199999999</c:v>
                </c:pt>
                <c:pt idx="4">
                  <c:v>4.8181818200000004</c:v>
                </c:pt>
                <c:pt idx="5">
                  <c:v>5.62121212</c:v>
                </c:pt>
                <c:pt idx="6">
                  <c:v>6.4242424199999997</c:v>
                </c:pt>
                <c:pt idx="7">
                  <c:v>7.2272727300000001</c:v>
                </c:pt>
                <c:pt idx="8">
                  <c:v>8.0303030300000007</c:v>
                </c:pt>
                <c:pt idx="9">
                  <c:v>8.8333333300000003</c:v>
                </c:pt>
                <c:pt idx="10">
                  <c:v>9.6363636400000008</c:v>
                </c:pt>
                <c:pt idx="11">
                  <c:v>10.439393900000001</c:v>
                </c:pt>
                <c:pt idx="12">
                  <c:v>11.2424242</c:v>
                </c:pt>
                <c:pt idx="13">
                  <c:v>12.0454545</c:v>
                </c:pt>
                <c:pt idx="14">
                  <c:v>12.8484848</c:v>
                </c:pt>
                <c:pt idx="15">
                  <c:v>13.6515152</c:v>
                </c:pt>
                <c:pt idx="16">
                  <c:v>14.4545455</c:v>
                </c:pt>
                <c:pt idx="17">
                  <c:v>15.2575758</c:v>
                </c:pt>
                <c:pt idx="18">
                  <c:v>16.060606100000001</c:v>
                </c:pt>
                <c:pt idx="19">
                  <c:v>16.863636400000001</c:v>
                </c:pt>
                <c:pt idx="20">
                  <c:v>17.6666667</c:v>
                </c:pt>
                <c:pt idx="21">
                  <c:v>18.469697</c:v>
                </c:pt>
                <c:pt idx="22">
                  <c:v>19.2727273</c:v>
                </c:pt>
                <c:pt idx="23">
                  <c:v>20.075757599999999</c:v>
                </c:pt>
                <c:pt idx="24">
                  <c:v>20.878787899999999</c:v>
                </c:pt>
                <c:pt idx="25">
                  <c:v>21.681818199999999</c:v>
                </c:pt>
                <c:pt idx="26">
                  <c:v>22.484848499999998</c:v>
                </c:pt>
                <c:pt idx="27">
                  <c:v>23.287878800000001</c:v>
                </c:pt>
                <c:pt idx="28">
                  <c:v>24.090909100000001</c:v>
                </c:pt>
                <c:pt idx="29">
                  <c:v>24.893939400000001</c:v>
                </c:pt>
                <c:pt idx="30">
                  <c:v>25.6969697</c:v>
                </c:pt>
                <c:pt idx="31">
                  <c:v>26.5</c:v>
                </c:pt>
                <c:pt idx="32">
                  <c:v>27.3030303</c:v>
                </c:pt>
                <c:pt idx="33">
                  <c:v>28.106060599999999</c:v>
                </c:pt>
                <c:pt idx="34">
                  <c:v>28.909090899999999</c:v>
                </c:pt>
                <c:pt idx="35">
                  <c:v>29.712121199999999</c:v>
                </c:pt>
                <c:pt idx="36">
                  <c:v>30.515151500000002</c:v>
                </c:pt>
                <c:pt idx="37">
                  <c:v>31.318181800000001</c:v>
                </c:pt>
                <c:pt idx="38">
                  <c:v>32.121212100000001</c:v>
                </c:pt>
                <c:pt idx="39">
                  <c:v>32.924242399999997</c:v>
                </c:pt>
                <c:pt idx="40">
                  <c:v>33.7272727</c:v>
                </c:pt>
                <c:pt idx="41">
                  <c:v>34.530303000000004</c:v>
                </c:pt>
                <c:pt idx="42">
                  <c:v>35.3333333</c:v>
                </c:pt>
                <c:pt idx="43">
                  <c:v>36.136363600000003</c:v>
                </c:pt>
                <c:pt idx="44">
                  <c:v>36.939393899999999</c:v>
                </c:pt>
                <c:pt idx="45">
                  <c:v>37.742424200000002</c:v>
                </c:pt>
                <c:pt idx="46">
                  <c:v>38.545454499999998</c:v>
                </c:pt>
                <c:pt idx="47">
                  <c:v>39.348484800000001</c:v>
                </c:pt>
                <c:pt idx="48">
                  <c:v>40.151515199999999</c:v>
                </c:pt>
                <c:pt idx="49">
                  <c:v>40.954545500000002</c:v>
                </c:pt>
                <c:pt idx="50">
                  <c:v>41.757575799999998</c:v>
                </c:pt>
                <c:pt idx="51">
                  <c:v>42.560606100000001</c:v>
                </c:pt>
                <c:pt idx="52">
                  <c:v>43.363636399999997</c:v>
                </c:pt>
                <c:pt idx="53">
                  <c:v>44.1666667</c:v>
                </c:pt>
                <c:pt idx="54">
                  <c:v>44.969696999999996</c:v>
                </c:pt>
                <c:pt idx="55">
                  <c:v>45.7727273</c:v>
                </c:pt>
                <c:pt idx="56">
                  <c:v>46.575757600000003</c:v>
                </c:pt>
                <c:pt idx="57">
                  <c:v>47.378787899999999</c:v>
                </c:pt>
                <c:pt idx="58">
                  <c:v>48.181818200000002</c:v>
                </c:pt>
                <c:pt idx="59">
                  <c:v>48.984848499999998</c:v>
                </c:pt>
                <c:pt idx="60">
                  <c:v>49.787878800000001</c:v>
                </c:pt>
                <c:pt idx="61">
                  <c:v>50.590909099999998</c:v>
                </c:pt>
                <c:pt idx="62">
                  <c:v>51.393939400000001</c:v>
                </c:pt>
                <c:pt idx="63">
                  <c:v>52.196969699999997</c:v>
                </c:pt>
                <c:pt idx="64">
                  <c:v>53</c:v>
                </c:pt>
                <c:pt idx="65">
                  <c:v>53.803030300000003</c:v>
                </c:pt>
                <c:pt idx="66">
                  <c:v>54.606060599999999</c:v>
                </c:pt>
                <c:pt idx="67">
                  <c:v>55.409090900000002</c:v>
                </c:pt>
                <c:pt idx="68">
                  <c:v>56.212121199999999</c:v>
                </c:pt>
                <c:pt idx="69">
                  <c:v>57.015151500000002</c:v>
                </c:pt>
                <c:pt idx="70">
                  <c:v>57.818181799999998</c:v>
                </c:pt>
                <c:pt idx="71">
                  <c:v>58.621212100000001</c:v>
                </c:pt>
                <c:pt idx="72">
                  <c:v>59.424242399999997</c:v>
                </c:pt>
                <c:pt idx="73">
                  <c:v>60.2272727</c:v>
                </c:pt>
                <c:pt idx="74">
                  <c:v>61.030303000000004</c:v>
                </c:pt>
                <c:pt idx="75">
                  <c:v>61.8333333</c:v>
                </c:pt>
                <c:pt idx="76">
                  <c:v>62.636363600000003</c:v>
                </c:pt>
                <c:pt idx="77">
                  <c:v>63.439393899999999</c:v>
                </c:pt>
                <c:pt idx="78">
                  <c:v>64.242424200000002</c:v>
                </c:pt>
                <c:pt idx="79">
                  <c:v>65.045454500000005</c:v>
                </c:pt>
                <c:pt idx="80">
                  <c:v>65.848484799999994</c:v>
                </c:pt>
                <c:pt idx="81">
                  <c:v>66.651515200000006</c:v>
                </c:pt>
                <c:pt idx="82">
                  <c:v>67.454545499999995</c:v>
                </c:pt>
                <c:pt idx="83">
                  <c:v>68.257575799999998</c:v>
                </c:pt>
                <c:pt idx="84">
                  <c:v>69.060606100000001</c:v>
                </c:pt>
                <c:pt idx="85">
                  <c:v>69.863636400000004</c:v>
                </c:pt>
                <c:pt idx="86">
                  <c:v>70.666666699999993</c:v>
                </c:pt>
                <c:pt idx="87">
                  <c:v>71.469696999999996</c:v>
                </c:pt>
                <c:pt idx="88">
                  <c:v>72.2727273</c:v>
                </c:pt>
                <c:pt idx="89">
                  <c:v>73.075757600000003</c:v>
                </c:pt>
                <c:pt idx="90">
                  <c:v>73.878787900000006</c:v>
                </c:pt>
                <c:pt idx="91">
                  <c:v>74.681818199999995</c:v>
                </c:pt>
                <c:pt idx="92">
                  <c:v>75.484848499999998</c:v>
                </c:pt>
                <c:pt idx="93">
                  <c:v>76.287878800000001</c:v>
                </c:pt>
                <c:pt idx="94">
                  <c:v>77.090909100000005</c:v>
                </c:pt>
                <c:pt idx="95">
                  <c:v>77.893939399999994</c:v>
                </c:pt>
                <c:pt idx="96">
                  <c:v>78.696969699999997</c:v>
                </c:pt>
                <c:pt idx="97">
                  <c:v>79.5</c:v>
                </c:pt>
                <c:pt idx="98">
                  <c:v>80.303030300000003</c:v>
                </c:pt>
              </c:numCache>
            </c:numRef>
          </c:cat>
          <c:val>
            <c:numRef>
              <c:f>'Calculs mirroir'!$O$20:$O$115</c:f>
              <c:numCache>
                <c:formatCode>0.00E+00</c:formatCode>
                <c:ptCount val="96"/>
                <c:pt idx="0">
                  <c:v>1.8303066589175207E-8</c:v>
                </c:pt>
                <c:pt idx="1">
                  <c:v>1.6538772696554914E-8</c:v>
                </c:pt>
                <c:pt idx="2">
                  <c:v>1.5197961217182459E-8</c:v>
                </c:pt>
                <c:pt idx="3">
                  <c:v>1.4136665586298802E-8</c:v>
                </c:pt>
                <c:pt idx="4">
                  <c:v>1.3268240719662756E-8</c:v>
                </c:pt>
                <c:pt idx="5">
                  <c:v>1.2538993600590356E-8</c:v>
                </c:pt>
                <c:pt idx="6">
                  <c:v>1.1922559947322373E-8</c:v>
                </c:pt>
                <c:pt idx="7">
                  <c:v>1.139046910370958E-8</c:v>
                </c:pt>
                <c:pt idx="8">
                  <c:v>1.0923989725125491E-8</c:v>
                </c:pt>
                <c:pt idx="9">
                  <c:v>1.0542922815620592E-8</c:v>
                </c:pt>
                <c:pt idx="10">
                  <c:v>1.0993025917922087E-8</c:v>
                </c:pt>
                <c:pt idx="11">
                  <c:v>1.0859847203150728E-8</c:v>
                </c:pt>
                <c:pt idx="12">
                  <c:v>1.0961105866021054E-8</c:v>
                </c:pt>
                <c:pt idx="13">
                  <c:v>1.09472000351512E-8</c:v>
                </c:pt>
                <c:pt idx="14">
                  <c:v>1.0532055447923631E-8</c:v>
                </c:pt>
                <c:pt idx="15">
                  <c:v>1.0192988063293063E-8</c:v>
                </c:pt>
                <c:pt idx="16">
                  <c:v>9.901926610328291E-9</c:v>
                </c:pt>
                <c:pt idx="17">
                  <c:v>9.6297442646753218E-9</c:v>
                </c:pt>
                <c:pt idx="18">
                  <c:v>9.3752936857390213E-9</c:v>
                </c:pt>
                <c:pt idx="19">
                  <c:v>9.1545023175109355E-9</c:v>
                </c:pt>
                <c:pt idx="20">
                  <c:v>8.9517369512511018E-9</c:v>
                </c:pt>
                <c:pt idx="21">
                  <c:v>9.0338691320595151E-9</c:v>
                </c:pt>
                <c:pt idx="22">
                  <c:v>9.1146306281827339E-9</c:v>
                </c:pt>
                <c:pt idx="23">
                  <c:v>9.1951208242883582E-9</c:v>
                </c:pt>
                <c:pt idx="24">
                  <c:v>9.2793859367645904E-9</c:v>
                </c:pt>
                <c:pt idx="25">
                  <c:v>9.3621444640813837E-9</c:v>
                </c:pt>
                <c:pt idx="26">
                  <c:v>9.4493345641815359E-9</c:v>
                </c:pt>
                <c:pt idx="27">
                  <c:v>9.5379945168166272E-9</c:v>
                </c:pt>
                <c:pt idx="28">
                  <c:v>9.6285058423506458E-9</c:v>
                </c:pt>
                <c:pt idx="29">
                  <c:v>9.72651455815723E-9</c:v>
                </c:pt>
                <c:pt idx="30">
                  <c:v>9.8227905823891038E-9</c:v>
                </c:pt>
                <c:pt idx="31">
                  <c:v>9.9356671216041479E-9</c:v>
                </c:pt>
                <c:pt idx="32">
                  <c:v>1.0051079838400256E-8</c:v>
                </c:pt>
                <c:pt idx="33">
                  <c:v>1.0147050084506157E-8</c:v>
                </c:pt>
                <c:pt idx="34">
                  <c:v>1.0298669357752585E-8</c:v>
                </c:pt>
                <c:pt idx="35">
                  <c:v>1.0482491040056799E-8</c:v>
                </c:pt>
                <c:pt idx="36">
                  <c:v>1.0727166269441888E-8</c:v>
                </c:pt>
                <c:pt idx="37">
                  <c:v>1.110948844599413E-8</c:v>
                </c:pt>
                <c:pt idx="38">
                  <c:v>1.1708514440625599E-8</c:v>
                </c:pt>
                <c:pt idx="39">
                  <c:v>1.2333291680381394E-8</c:v>
                </c:pt>
                <c:pt idx="40">
                  <c:v>1.286292660905534E-8</c:v>
                </c:pt>
                <c:pt idx="41">
                  <c:v>1.3444015851232544E-8</c:v>
                </c:pt>
                <c:pt idx="42">
                  <c:v>1.406910350514915E-8</c:v>
                </c:pt>
                <c:pt idx="43">
                  <c:v>1.4736046463358381E-8</c:v>
                </c:pt>
                <c:pt idx="44">
                  <c:v>1.5445512412974541E-8</c:v>
                </c:pt>
                <c:pt idx="45">
                  <c:v>1.6198183068387663E-8</c:v>
                </c:pt>
                <c:pt idx="46">
                  <c:v>1.6370158197707348E-8</c:v>
                </c:pt>
                <c:pt idx="47">
                  <c:v>1.6143847089218208E-8</c:v>
                </c:pt>
                <c:pt idx="48">
                  <c:v>1.5924774160649635E-8</c:v>
                </c:pt>
                <c:pt idx="49">
                  <c:v>1.5712543552414837E-8</c:v>
                </c:pt>
                <c:pt idx="50">
                  <c:v>1.5506787251620037E-8</c:v>
                </c:pt>
                <c:pt idx="51">
                  <c:v>1.5307163333597989E-8</c:v>
                </c:pt>
                <c:pt idx="52">
                  <c:v>1.5113464531519094E-8</c:v>
                </c:pt>
                <c:pt idx="53">
                  <c:v>1.4925398318515087E-8</c:v>
                </c:pt>
                <c:pt idx="54">
                  <c:v>1.4742691830055706E-8</c:v>
                </c:pt>
                <c:pt idx="55">
                  <c:v>1.4565090591266347E-8</c:v>
                </c:pt>
                <c:pt idx="56">
                  <c:v>1.4392469490805123E-8</c:v>
                </c:pt>
                <c:pt idx="57">
                  <c:v>1.4224496120976706E-8</c:v>
                </c:pt>
                <c:pt idx="58">
                  <c:v>1.4060965912105026E-8</c:v>
                </c:pt>
                <c:pt idx="59">
                  <c:v>1.3901911396634906E-8</c:v>
                </c:pt>
                <c:pt idx="60">
                  <c:v>1.3746935585328349E-8</c:v>
                </c:pt>
                <c:pt idx="61">
                  <c:v>1.3595987428177159E-8</c:v>
                </c:pt>
                <c:pt idx="62">
                  <c:v>1.3448814135199068E-8</c:v>
                </c:pt>
                <c:pt idx="63">
                  <c:v>1.3305508040415958E-8</c:v>
                </c:pt>
                <c:pt idx="64">
                  <c:v>1.3165841354442165E-8</c:v>
                </c:pt>
                <c:pt idx="65">
                  <c:v>1.3029721182609395E-8</c:v>
                </c:pt>
                <c:pt idx="66">
                  <c:v>1.289708518019972E-8</c:v>
                </c:pt>
                <c:pt idx="67">
                  <c:v>1.2767953809680358E-8</c:v>
                </c:pt>
                <c:pt idx="68">
                  <c:v>1.2642101257814843E-8</c:v>
                </c:pt>
                <c:pt idx="69">
                  <c:v>1.2519718599057117E-8</c:v>
                </c:pt>
                <c:pt idx="70">
                  <c:v>1.2400842176047886E-8</c:v>
                </c:pt>
                <c:pt idx="71">
                  <c:v>1.2637557799888215E-8</c:v>
                </c:pt>
                <c:pt idx="72">
                  <c:v>1.2892111749690666E-8</c:v>
                </c:pt>
                <c:pt idx="73">
                  <c:v>1.3165997041348736E-8</c:v>
                </c:pt>
                <c:pt idx="74">
                  <c:v>1.3461280539025093E-8</c:v>
                </c:pt>
                <c:pt idx="75">
                  <c:v>1.3779921123731075E-8</c:v>
                </c:pt>
                <c:pt idx="76">
                  <c:v>1.4124917105750676E-8</c:v>
                </c:pt>
                <c:pt idx="77">
                  <c:v>1.4498596194404001E-8</c:v>
                </c:pt>
                <c:pt idx="78">
                  <c:v>1.4904483311610951E-8</c:v>
                </c:pt>
                <c:pt idx="79">
                  <c:v>1.5293817616548899E-8</c:v>
                </c:pt>
                <c:pt idx="80">
                  <c:v>1.5776385160979811E-8</c:v>
                </c:pt>
                <c:pt idx="81">
                  <c:v>1.6304149979441312E-8</c:v>
                </c:pt>
                <c:pt idx="82">
                  <c:v>1.6883053925265483E-8</c:v>
                </c:pt>
                <c:pt idx="83">
                  <c:v>1.7521649292641747E-8</c:v>
                </c:pt>
                <c:pt idx="84">
                  <c:v>1.8226280929410227E-8</c:v>
                </c:pt>
                <c:pt idx="85">
                  <c:v>1.9007482361739824E-8</c:v>
                </c:pt>
                <c:pt idx="86">
                  <c:v>1.98781743761555E-8</c:v>
                </c:pt>
                <c:pt idx="87">
                  <c:v>2.0850603912669066E-8</c:v>
                </c:pt>
                <c:pt idx="88">
                  <c:v>2.1943393322440495E-8</c:v>
                </c:pt>
                <c:pt idx="89">
                  <c:v>2.3177448985653224E-8</c:v>
                </c:pt>
                <c:pt idx="90">
                  <c:v>2.4582182779887295E-8</c:v>
                </c:pt>
                <c:pt idx="91">
                  <c:v>2.6187313128136218E-8</c:v>
                </c:pt>
                <c:pt idx="92">
                  <c:v>2.803951221370654E-8</c:v>
                </c:pt>
                <c:pt idx="93">
                  <c:v>3.0197941533286393E-8</c:v>
                </c:pt>
                <c:pt idx="94">
                  <c:v>3.2732189179309671E-8</c:v>
                </c:pt>
                <c:pt idx="95">
                  <c:v>3.5755267248764174E-8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9B-4EF2-BA8A-A59905932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168240"/>
        <c:axId val="1"/>
      </c:lineChart>
      <c:catAx>
        <c:axId val="351168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3071099975255"/>
              <c:y val="0.910449972913685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1E-8"/>
        <c:auto val="1"/>
        <c:lblAlgn val="ctr"/>
        <c:lblOffset val="100"/>
        <c:tickLblSkip val="10"/>
        <c:tickMarkSkip val="10"/>
        <c:noMultiLvlLbl val="0"/>
      </c:catAx>
      <c:valAx>
        <c:axId val="1"/>
        <c:scaling>
          <c:logBase val="10"/>
          <c:orientation val="minMax"/>
          <c:max val="1.0000000000000004E-6"/>
          <c:min val="1.0000000000000001E-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2.3890804889815827E-2"/>
              <c:y val="0.363184961872672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1168240"/>
        <c:crosses val="autoZero"/>
        <c:crossBetween val="between"/>
      </c:valAx>
      <c:spPr>
        <a:solidFill>
          <a:srgbClr val="C0C0C0"/>
        </a:solidFill>
        <a:ln w="25400">
          <a:solidFill>
            <a:srgbClr val="0000D4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sensibilité PHEMTO mirroir</a:t>
            </a:r>
          </a:p>
        </c:rich>
      </c:tx>
      <c:layout>
        <c:manualLayout>
          <c:xMode val="edge"/>
          <c:yMode val="edge"/>
          <c:x val="0.23053089954664754"/>
          <c:y val="4.228855721393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11442895119907"/>
          <c:y val="0.17412977624032241"/>
          <c:w val="0.7696246213334681"/>
          <c:h val="0.65920558148122055"/>
        </c:manualLayout>
      </c:layout>
      <c:lineChart>
        <c:grouping val="standard"/>
        <c:varyColors val="0"/>
        <c:ser>
          <c:idx val="0"/>
          <c:order val="0"/>
          <c:tx>
            <c:v>sensibilité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'Calculs mirroir'!$B$17:$B$115</c:f>
              <c:numCache>
                <c:formatCode>0.00</c:formatCode>
                <c:ptCount val="99"/>
                <c:pt idx="0">
                  <c:v>1.6060606100000001</c:v>
                </c:pt>
                <c:pt idx="1">
                  <c:v>2.4090909100000002</c:v>
                </c:pt>
                <c:pt idx="2">
                  <c:v>3.2121212099999998</c:v>
                </c:pt>
                <c:pt idx="3">
                  <c:v>4.0151515199999999</c:v>
                </c:pt>
                <c:pt idx="4">
                  <c:v>4.8181818200000004</c:v>
                </c:pt>
                <c:pt idx="5">
                  <c:v>5.62121212</c:v>
                </c:pt>
                <c:pt idx="6">
                  <c:v>6.4242424199999997</c:v>
                </c:pt>
                <c:pt idx="7">
                  <c:v>7.2272727300000001</c:v>
                </c:pt>
                <c:pt idx="8">
                  <c:v>8.0303030300000007</c:v>
                </c:pt>
                <c:pt idx="9">
                  <c:v>8.8333333300000003</c:v>
                </c:pt>
                <c:pt idx="10">
                  <c:v>9.6363636400000008</c:v>
                </c:pt>
                <c:pt idx="11">
                  <c:v>10.439393900000001</c:v>
                </c:pt>
                <c:pt idx="12">
                  <c:v>11.2424242</c:v>
                </c:pt>
                <c:pt idx="13">
                  <c:v>12.0454545</c:v>
                </c:pt>
                <c:pt idx="14">
                  <c:v>12.8484848</c:v>
                </c:pt>
                <c:pt idx="15">
                  <c:v>13.6515152</c:v>
                </c:pt>
                <c:pt idx="16">
                  <c:v>14.4545455</c:v>
                </c:pt>
                <c:pt idx="17">
                  <c:v>15.2575758</c:v>
                </c:pt>
                <c:pt idx="18">
                  <c:v>16.060606100000001</c:v>
                </c:pt>
                <c:pt idx="19">
                  <c:v>16.863636400000001</c:v>
                </c:pt>
                <c:pt idx="20">
                  <c:v>17.6666667</c:v>
                </c:pt>
                <c:pt idx="21">
                  <c:v>18.469697</c:v>
                </c:pt>
                <c:pt idx="22">
                  <c:v>19.2727273</c:v>
                </c:pt>
                <c:pt idx="23">
                  <c:v>20.075757599999999</c:v>
                </c:pt>
                <c:pt idx="24">
                  <c:v>20.878787899999999</c:v>
                </c:pt>
                <c:pt idx="25">
                  <c:v>21.681818199999999</c:v>
                </c:pt>
                <c:pt idx="26">
                  <c:v>22.484848499999998</c:v>
                </c:pt>
                <c:pt idx="27">
                  <c:v>23.287878800000001</c:v>
                </c:pt>
                <c:pt idx="28">
                  <c:v>24.090909100000001</c:v>
                </c:pt>
                <c:pt idx="29">
                  <c:v>24.893939400000001</c:v>
                </c:pt>
                <c:pt idx="30">
                  <c:v>25.6969697</c:v>
                </c:pt>
                <c:pt idx="31">
                  <c:v>26.5</c:v>
                </c:pt>
                <c:pt idx="32">
                  <c:v>27.3030303</c:v>
                </c:pt>
                <c:pt idx="33">
                  <c:v>28.106060599999999</c:v>
                </c:pt>
                <c:pt idx="34">
                  <c:v>28.909090899999999</c:v>
                </c:pt>
                <c:pt idx="35">
                  <c:v>29.712121199999999</c:v>
                </c:pt>
                <c:pt idx="36">
                  <c:v>30.515151500000002</c:v>
                </c:pt>
                <c:pt idx="37">
                  <c:v>31.318181800000001</c:v>
                </c:pt>
                <c:pt idx="38">
                  <c:v>32.121212100000001</c:v>
                </c:pt>
                <c:pt idx="39">
                  <c:v>32.924242399999997</c:v>
                </c:pt>
                <c:pt idx="40">
                  <c:v>33.7272727</c:v>
                </c:pt>
                <c:pt idx="41">
                  <c:v>34.530303000000004</c:v>
                </c:pt>
                <c:pt idx="42">
                  <c:v>35.3333333</c:v>
                </c:pt>
                <c:pt idx="43">
                  <c:v>36.136363600000003</c:v>
                </c:pt>
                <c:pt idx="44">
                  <c:v>36.939393899999999</c:v>
                </c:pt>
                <c:pt idx="45">
                  <c:v>37.742424200000002</c:v>
                </c:pt>
                <c:pt idx="46">
                  <c:v>38.545454499999998</c:v>
                </c:pt>
                <c:pt idx="47">
                  <c:v>39.348484800000001</c:v>
                </c:pt>
                <c:pt idx="48">
                  <c:v>40.151515199999999</c:v>
                </c:pt>
                <c:pt idx="49">
                  <c:v>40.954545500000002</c:v>
                </c:pt>
                <c:pt idx="50">
                  <c:v>41.757575799999998</c:v>
                </c:pt>
                <c:pt idx="51">
                  <c:v>42.560606100000001</c:v>
                </c:pt>
                <c:pt idx="52">
                  <c:v>43.363636399999997</c:v>
                </c:pt>
                <c:pt idx="53">
                  <c:v>44.1666667</c:v>
                </c:pt>
                <c:pt idx="54">
                  <c:v>44.969696999999996</c:v>
                </c:pt>
                <c:pt idx="55">
                  <c:v>45.7727273</c:v>
                </c:pt>
                <c:pt idx="56">
                  <c:v>46.575757600000003</c:v>
                </c:pt>
                <c:pt idx="57">
                  <c:v>47.378787899999999</c:v>
                </c:pt>
                <c:pt idx="58">
                  <c:v>48.181818200000002</c:v>
                </c:pt>
                <c:pt idx="59">
                  <c:v>48.984848499999998</c:v>
                </c:pt>
                <c:pt idx="60">
                  <c:v>49.787878800000001</c:v>
                </c:pt>
                <c:pt idx="61">
                  <c:v>50.590909099999998</c:v>
                </c:pt>
                <c:pt idx="62">
                  <c:v>51.393939400000001</c:v>
                </c:pt>
                <c:pt idx="63">
                  <c:v>52.196969699999997</c:v>
                </c:pt>
                <c:pt idx="64">
                  <c:v>53</c:v>
                </c:pt>
                <c:pt idx="65">
                  <c:v>53.803030300000003</c:v>
                </c:pt>
                <c:pt idx="66">
                  <c:v>54.606060599999999</c:v>
                </c:pt>
                <c:pt idx="67">
                  <c:v>55.409090900000002</c:v>
                </c:pt>
                <c:pt idx="68">
                  <c:v>56.212121199999999</c:v>
                </c:pt>
                <c:pt idx="69">
                  <c:v>57.015151500000002</c:v>
                </c:pt>
                <c:pt idx="70">
                  <c:v>57.818181799999998</c:v>
                </c:pt>
                <c:pt idx="71">
                  <c:v>58.621212100000001</c:v>
                </c:pt>
                <c:pt idx="72">
                  <c:v>59.424242399999997</c:v>
                </c:pt>
                <c:pt idx="73">
                  <c:v>60.2272727</c:v>
                </c:pt>
                <c:pt idx="74">
                  <c:v>61.030303000000004</c:v>
                </c:pt>
                <c:pt idx="75">
                  <c:v>61.8333333</c:v>
                </c:pt>
                <c:pt idx="76">
                  <c:v>62.636363600000003</c:v>
                </c:pt>
                <c:pt idx="77">
                  <c:v>63.439393899999999</c:v>
                </c:pt>
                <c:pt idx="78">
                  <c:v>64.242424200000002</c:v>
                </c:pt>
                <c:pt idx="79">
                  <c:v>65.045454500000005</c:v>
                </c:pt>
                <c:pt idx="80">
                  <c:v>65.848484799999994</c:v>
                </c:pt>
                <c:pt idx="81">
                  <c:v>66.651515200000006</c:v>
                </c:pt>
                <c:pt idx="82">
                  <c:v>67.454545499999995</c:v>
                </c:pt>
                <c:pt idx="83">
                  <c:v>68.257575799999998</c:v>
                </c:pt>
                <c:pt idx="84">
                  <c:v>69.060606100000001</c:v>
                </c:pt>
                <c:pt idx="85">
                  <c:v>69.863636400000004</c:v>
                </c:pt>
                <c:pt idx="86">
                  <c:v>70.666666699999993</c:v>
                </c:pt>
                <c:pt idx="87">
                  <c:v>71.469696999999996</c:v>
                </c:pt>
                <c:pt idx="88">
                  <c:v>72.2727273</c:v>
                </c:pt>
                <c:pt idx="89">
                  <c:v>73.075757600000003</c:v>
                </c:pt>
                <c:pt idx="90">
                  <c:v>73.878787900000006</c:v>
                </c:pt>
                <c:pt idx="91">
                  <c:v>74.681818199999995</c:v>
                </c:pt>
                <c:pt idx="92">
                  <c:v>75.484848499999998</c:v>
                </c:pt>
                <c:pt idx="93">
                  <c:v>76.287878800000001</c:v>
                </c:pt>
                <c:pt idx="94">
                  <c:v>77.090909100000005</c:v>
                </c:pt>
                <c:pt idx="95">
                  <c:v>77.893939399999994</c:v>
                </c:pt>
                <c:pt idx="96">
                  <c:v>78.696969699999997</c:v>
                </c:pt>
                <c:pt idx="97">
                  <c:v>79.5</c:v>
                </c:pt>
                <c:pt idx="98">
                  <c:v>80.303030300000003</c:v>
                </c:pt>
              </c:numCache>
            </c:numRef>
          </c:cat>
          <c:val>
            <c:numRef>
              <c:f>'Calculs mirroir'!$P$17:$P$115</c:f>
              <c:numCache>
                <c:formatCode>0.00E+00</c:formatCode>
                <c:ptCount val="99"/>
                <c:pt idx="0">
                  <c:v>1.1233072298166556E-16</c:v>
                </c:pt>
                <c:pt idx="1">
                  <c:v>2.2880775828362728E-16</c:v>
                </c:pt>
                <c:pt idx="2">
                  <c:v>3.4464259940857756E-16</c:v>
                </c:pt>
                <c:pt idx="3">
                  <c:v>4.7275737423098634E-16</c:v>
                </c:pt>
                <c:pt idx="4">
                  <c:v>6.1514885775056683E-16</c:v>
                </c:pt>
                <c:pt idx="5">
                  <c:v>7.6940650568882807E-16</c:v>
                </c:pt>
                <c:pt idx="6">
                  <c:v>9.3476275597335765E-16</c:v>
                </c:pt>
                <c:pt idx="7">
                  <c:v>1.1103829990184576E-15</c:v>
                </c:pt>
                <c:pt idx="8">
                  <c:v>1.2954991222850683E-15</c:v>
                </c:pt>
                <c:pt idx="9">
                  <c:v>1.4904908941395148E-15</c:v>
                </c:pt>
                <c:pt idx="10">
                  <c:v>1.6946442609613032E-15</c:v>
                </c:pt>
                <c:pt idx="11">
                  <c:v>1.9074028477407861E-15</c:v>
                </c:pt>
                <c:pt idx="12">
                  <c:v>2.1349688236919364E-15</c:v>
                </c:pt>
                <c:pt idx="13">
                  <c:v>2.5554901369361151E-15</c:v>
                </c:pt>
                <c:pt idx="14">
                  <c:v>2.8723550333393189E-15</c:v>
                </c:pt>
                <c:pt idx="15">
                  <c:v>3.2728542142029329E-15</c:v>
                </c:pt>
                <c:pt idx="16">
                  <c:v>3.6645656737742122E-15</c:v>
                </c:pt>
                <c:pt idx="17">
                  <c:v>3.9282107840228718E-15</c:v>
                </c:pt>
                <c:pt idx="18">
                  <c:v>4.2124615661698763E-15</c:v>
                </c:pt>
                <c:pt idx="19">
                  <c:v>4.5116223236125941E-15</c:v>
                </c:pt>
                <c:pt idx="20">
                  <c:v>4.8154242940449005E-15</c:v>
                </c:pt>
                <c:pt idx="21">
                  <c:v>5.1240693266447266E-15</c:v>
                </c:pt>
                <c:pt idx="22">
                  <c:v>5.4479318473275379E-15</c:v>
                </c:pt>
                <c:pt idx="23">
                  <c:v>5.7804516462597225E-15</c:v>
                </c:pt>
                <c:pt idx="24">
                  <c:v>6.3094998465753731E-15</c:v>
                </c:pt>
                <c:pt idx="25">
                  <c:v>6.865007956619258E-15</c:v>
                </c:pt>
                <c:pt idx="26">
                  <c:v>7.4481419651362884E-15</c:v>
                </c:pt>
                <c:pt idx="27">
                  <c:v>8.0628703484968176E-15</c:v>
                </c:pt>
                <c:pt idx="28">
                  <c:v>8.7054713473012118E-15</c:v>
                </c:pt>
                <c:pt idx="29">
                  <c:v>9.3820783666468551E-15</c:v>
                </c:pt>
                <c:pt idx="30">
                  <c:v>1.0090936367362571E-14</c:v>
                </c:pt>
                <c:pt idx="31">
                  <c:v>1.0833311235832552E-14</c:v>
                </c:pt>
                <c:pt idx="32">
                  <c:v>1.1616880383088752E-14</c:v>
                </c:pt>
                <c:pt idx="33">
                  <c:v>1.2432126372260622E-14</c:v>
                </c:pt>
                <c:pt idx="34">
                  <c:v>1.3303823557100932E-14</c:v>
                </c:pt>
                <c:pt idx="35">
                  <c:v>1.4216432026668888E-14</c:v>
                </c:pt>
                <c:pt idx="36">
                  <c:v>1.5138450990434122E-14</c:v>
                </c:pt>
                <c:pt idx="37">
                  <c:v>1.618395905944941E-14</c:v>
                </c:pt>
                <c:pt idx="38">
                  <c:v>1.7328418349880055E-14</c:v>
                </c:pt>
                <c:pt idx="39">
                  <c:v>1.8630613973955872E-14</c:v>
                </c:pt>
                <c:pt idx="40">
                  <c:v>2.0247298430737703E-14</c:v>
                </c:pt>
                <c:pt idx="41">
                  <c:v>2.2367278675706982E-14</c:v>
                </c:pt>
                <c:pt idx="42">
                  <c:v>2.4669411944796987E-14</c:v>
                </c:pt>
                <c:pt idx="43">
                  <c:v>2.6911583997014566E-14</c:v>
                </c:pt>
                <c:pt idx="44">
                  <c:v>2.9391321994332631E-14</c:v>
                </c:pt>
                <c:pt idx="45">
                  <c:v>3.210972469495361E-14</c:v>
                </c:pt>
                <c:pt idx="46">
                  <c:v>3.5078248333090907E-14</c:v>
                </c:pt>
                <c:pt idx="47">
                  <c:v>3.831500814303425E-14</c:v>
                </c:pt>
                <c:pt idx="48">
                  <c:v>4.1838947902056767E-14</c:v>
                </c:pt>
                <c:pt idx="49">
                  <c:v>4.3991388710223104E-14</c:v>
                </c:pt>
                <c:pt idx="50">
                  <c:v>4.5101207132203339E-14</c:v>
                </c:pt>
                <c:pt idx="51">
                  <c:v>4.6216756615172119E-14</c:v>
                </c:pt>
                <c:pt idx="52">
                  <c:v>4.7337842160066044E-14</c:v>
                </c:pt>
                <c:pt idx="53">
                  <c:v>4.8464267217670495E-14</c:v>
                </c:pt>
                <c:pt idx="54">
                  <c:v>4.9595835778912786E-14</c:v>
                </c:pt>
                <c:pt idx="55">
                  <c:v>5.0732724444649544E-14</c:v>
                </c:pt>
                <c:pt idx="56">
                  <c:v>5.1874791009638125E-14</c:v>
                </c:pt>
                <c:pt idx="57">
                  <c:v>5.3021895999750263E-14</c:v>
                </c:pt>
                <c:pt idx="58">
                  <c:v>5.4173903980900335E-14</c:v>
                </c:pt>
                <c:pt idx="59">
                  <c:v>5.5331116048973896E-14</c:v>
                </c:pt>
                <c:pt idx="60">
                  <c:v>5.6493009714754253E-14</c:v>
                </c:pt>
                <c:pt idx="61">
                  <c:v>5.765947673787744E-14</c:v>
                </c:pt>
                <c:pt idx="62">
                  <c:v>5.8831362522097955E-14</c:v>
                </c:pt>
                <c:pt idx="63">
                  <c:v>6.0007709966519718E-14</c:v>
                </c:pt>
                <c:pt idx="64">
                  <c:v>6.11889594416869E-14</c:v>
                </c:pt>
                <c:pt idx="65">
                  <c:v>6.2374638171190643E-14</c:v>
                </c:pt>
                <c:pt idx="66">
                  <c:v>6.3565831076501093E-14</c:v>
                </c:pt>
                <c:pt idx="67">
                  <c:v>6.4762147486207595E-14</c:v>
                </c:pt>
                <c:pt idx="68">
                  <c:v>6.5963796735294967E-14</c:v>
                </c:pt>
                <c:pt idx="69">
                  <c:v>6.7171138261302529E-14</c:v>
                </c:pt>
                <c:pt idx="70">
                  <c:v>6.8384982141703331E-14</c:v>
                </c:pt>
                <c:pt idx="71">
                  <c:v>6.9604837969152208E-14</c:v>
                </c:pt>
                <c:pt idx="72">
                  <c:v>7.0832480218303076E-14</c:v>
                </c:pt>
                <c:pt idx="73">
                  <c:v>7.2068942431486711E-14</c:v>
                </c:pt>
                <c:pt idx="74">
                  <c:v>7.5416223552304328E-14</c:v>
                </c:pt>
                <c:pt idx="75">
                  <c:v>7.8973239567977044E-14</c:v>
                </c:pt>
                <c:pt idx="76">
                  <c:v>8.2759412771561663E-14</c:v>
                </c:pt>
                <c:pt idx="77">
                  <c:v>8.6799055542573841E-14</c:v>
                </c:pt>
                <c:pt idx="78">
                  <c:v>9.1117364049401564E-14</c:v>
                </c:pt>
                <c:pt idx="79">
                  <c:v>9.5748149077623201E-14</c:v>
                </c:pt>
                <c:pt idx="80">
                  <c:v>1.0072287203440925E-13</c:v>
                </c:pt>
                <c:pt idx="81">
                  <c:v>1.0608342988154191E-13</c:v>
                </c:pt>
                <c:pt idx="82">
                  <c:v>1.1149333899611589E-13</c:v>
                </c:pt>
                <c:pt idx="83">
                  <c:v>1.1776596492075169E-13</c:v>
                </c:pt>
                <c:pt idx="84">
                  <c:v>1.2458607590778701E-13</c:v>
                </c:pt>
                <c:pt idx="85">
                  <c:v>1.3202736499200136E-13</c:v>
                </c:pt>
                <c:pt idx="86">
                  <c:v>1.4018926877837975E-13</c:v>
                </c:pt>
                <c:pt idx="87">
                  <c:v>1.4916004853189259E-13</c:v>
                </c:pt>
                <c:pt idx="88">
                  <c:v>1.5906845311708778E-13</c:v>
                </c:pt>
                <c:pt idx="89">
                  <c:v>1.7007235417079812E-13</c:v>
                </c:pt>
                <c:pt idx="90">
                  <c:v>1.8233445179295021E-13</c:v>
                </c:pt>
                <c:pt idx="91">
                  <c:v>1.9608488930586579E-13</c:v>
                </c:pt>
                <c:pt idx="92">
                  <c:v>2.1159031426846004E-13</c:v>
                </c:pt>
                <c:pt idx="93">
                  <c:v>2.2921450485597824E-13</c:v>
                </c:pt>
                <c:pt idx="94">
                  <c:v>2.4934912569731279E-13</c:v>
                </c:pt>
                <c:pt idx="95">
                  <c:v>2.7257647143095746E-13</c:v>
                </c:pt>
                <c:pt idx="96">
                  <c:v>2.9964286007611843E-13</c:v>
                </c:pt>
                <c:pt idx="97">
                  <c:v>3.3145142014136068E-13</c:v>
                </c:pt>
                <c:pt idx="98">
                  <c:v>3.6941495317184917E-13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6-4766-89A6-D44A0A74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168240"/>
        <c:axId val="1"/>
      </c:lineChart>
      <c:catAx>
        <c:axId val="351168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3071099975255"/>
              <c:y val="0.910449972913685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1E-8"/>
        <c:auto val="1"/>
        <c:lblAlgn val="ctr"/>
        <c:lblOffset val="100"/>
        <c:tickLblSkip val="10"/>
        <c:tickMarkSkip val="10"/>
        <c:noMultiLvlLbl val="0"/>
      </c:catAx>
      <c:valAx>
        <c:axId val="1"/>
        <c:scaling>
          <c:logBase val="10"/>
          <c:orientation val="minMax"/>
          <c:max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flux (erg/cm2/s)</a:t>
                </a:r>
              </a:p>
            </c:rich>
          </c:tx>
          <c:layout>
            <c:manualLayout>
              <c:xMode val="edge"/>
              <c:yMode val="edge"/>
              <c:x val="2.3890804889815827E-2"/>
              <c:y val="0.363184961872672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1168240"/>
        <c:crosses val="autoZero"/>
        <c:crossBetween val="between"/>
      </c:valAx>
      <c:spPr>
        <a:solidFill>
          <a:srgbClr val="C0C0C0"/>
        </a:solidFill>
        <a:ln w="25400">
          <a:solidFill>
            <a:srgbClr val="0000D4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sensibilité PHEMTO lentille</a:t>
            </a:r>
          </a:p>
        </c:rich>
      </c:tx>
      <c:layout>
        <c:manualLayout>
          <c:xMode val="edge"/>
          <c:yMode val="edge"/>
          <c:x val="0.23053089954664754"/>
          <c:y val="4.228855721393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6000628126613"/>
          <c:y val="0.17412977624032241"/>
          <c:w val="0.7677993135473451"/>
          <c:h val="0.65920558148122055"/>
        </c:manualLayout>
      </c:layout>
      <c:lineChart>
        <c:grouping val="standard"/>
        <c:varyColors val="0"/>
        <c:ser>
          <c:idx val="0"/>
          <c:order val="0"/>
          <c:tx>
            <c:v>sensibilité</c:v>
          </c:tx>
          <c:marker>
            <c:symbol val="none"/>
          </c:marker>
          <c:cat>
            <c:numRef>
              <c:f>'Calculs lentille'!$B$16:$B$115</c:f>
              <c:numCache>
                <c:formatCode>0.00</c:formatCode>
                <c:ptCount val="100"/>
                <c:pt idx="0">
                  <c:v>50</c:v>
                </c:pt>
                <c:pt idx="1">
                  <c:v>56.5</c:v>
                </c:pt>
                <c:pt idx="2">
                  <c:v>63</c:v>
                </c:pt>
                <c:pt idx="3">
                  <c:v>69.5</c:v>
                </c:pt>
                <c:pt idx="4">
                  <c:v>76</c:v>
                </c:pt>
                <c:pt idx="5">
                  <c:v>82.5</c:v>
                </c:pt>
                <c:pt idx="6">
                  <c:v>89</c:v>
                </c:pt>
                <c:pt idx="7">
                  <c:v>95.5</c:v>
                </c:pt>
                <c:pt idx="8">
                  <c:v>102</c:v>
                </c:pt>
                <c:pt idx="9">
                  <c:v>108.5</c:v>
                </c:pt>
                <c:pt idx="10">
                  <c:v>115</c:v>
                </c:pt>
                <c:pt idx="11">
                  <c:v>121.5</c:v>
                </c:pt>
                <c:pt idx="12">
                  <c:v>128</c:v>
                </c:pt>
                <c:pt idx="13">
                  <c:v>134.5</c:v>
                </c:pt>
                <c:pt idx="14">
                  <c:v>141</c:v>
                </c:pt>
                <c:pt idx="15">
                  <c:v>147.5</c:v>
                </c:pt>
                <c:pt idx="16">
                  <c:v>154</c:v>
                </c:pt>
                <c:pt idx="17">
                  <c:v>160.5</c:v>
                </c:pt>
                <c:pt idx="18">
                  <c:v>167</c:v>
                </c:pt>
                <c:pt idx="19">
                  <c:v>173.5</c:v>
                </c:pt>
                <c:pt idx="20">
                  <c:v>180</c:v>
                </c:pt>
                <c:pt idx="21">
                  <c:v>186.5</c:v>
                </c:pt>
                <c:pt idx="22">
                  <c:v>193</c:v>
                </c:pt>
                <c:pt idx="23">
                  <c:v>199.5</c:v>
                </c:pt>
                <c:pt idx="24">
                  <c:v>206</c:v>
                </c:pt>
                <c:pt idx="25">
                  <c:v>212.5</c:v>
                </c:pt>
                <c:pt idx="26">
                  <c:v>219</c:v>
                </c:pt>
                <c:pt idx="27">
                  <c:v>225.5</c:v>
                </c:pt>
                <c:pt idx="28">
                  <c:v>232</c:v>
                </c:pt>
                <c:pt idx="29">
                  <c:v>238.5</c:v>
                </c:pt>
                <c:pt idx="30">
                  <c:v>245</c:v>
                </c:pt>
                <c:pt idx="31">
                  <c:v>251.5</c:v>
                </c:pt>
                <c:pt idx="32">
                  <c:v>258</c:v>
                </c:pt>
                <c:pt idx="33">
                  <c:v>264.5</c:v>
                </c:pt>
                <c:pt idx="34">
                  <c:v>271</c:v>
                </c:pt>
                <c:pt idx="35">
                  <c:v>277.5</c:v>
                </c:pt>
                <c:pt idx="36">
                  <c:v>284</c:v>
                </c:pt>
                <c:pt idx="37">
                  <c:v>290.5</c:v>
                </c:pt>
                <c:pt idx="38">
                  <c:v>297</c:v>
                </c:pt>
                <c:pt idx="39">
                  <c:v>303.5</c:v>
                </c:pt>
                <c:pt idx="40">
                  <c:v>310</c:v>
                </c:pt>
                <c:pt idx="41">
                  <c:v>316.5</c:v>
                </c:pt>
                <c:pt idx="42">
                  <c:v>323</c:v>
                </c:pt>
                <c:pt idx="43">
                  <c:v>329.5</c:v>
                </c:pt>
                <c:pt idx="44">
                  <c:v>336</c:v>
                </c:pt>
                <c:pt idx="45">
                  <c:v>342.5</c:v>
                </c:pt>
                <c:pt idx="46">
                  <c:v>349</c:v>
                </c:pt>
                <c:pt idx="47">
                  <c:v>355.5</c:v>
                </c:pt>
                <c:pt idx="48">
                  <c:v>362</c:v>
                </c:pt>
                <c:pt idx="49">
                  <c:v>368.5</c:v>
                </c:pt>
                <c:pt idx="50">
                  <c:v>375</c:v>
                </c:pt>
                <c:pt idx="51">
                  <c:v>381.5</c:v>
                </c:pt>
                <c:pt idx="52">
                  <c:v>388</c:v>
                </c:pt>
                <c:pt idx="53">
                  <c:v>394.5</c:v>
                </c:pt>
                <c:pt idx="54">
                  <c:v>401</c:v>
                </c:pt>
                <c:pt idx="55">
                  <c:v>407.5</c:v>
                </c:pt>
                <c:pt idx="56">
                  <c:v>414</c:v>
                </c:pt>
                <c:pt idx="57">
                  <c:v>420.5</c:v>
                </c:pt>
                <c:pt idx="58">
                  <c:v>427</c:v>
                </c:pt>
                <c:pt idx="59">
                  <c:v>433.5</c:v>
                </c:pt>
                <c:pt idx="60">
                  <c:v>440</c:v>
                </c:pt>
                <c:pt idx="61">
                  <c:v>446.5</c:v>
                </c:pt>
                <c:pt idx="62">
                  <c:v>453</c:v>
                </c:pt>
                <c:pt idx="63">
                  <c:v>459.5</c:v>
                </c:pt>
                <c:pt idx="64">
                  <c:v>466</c:v>
                </c:pt>
                <c:pt idx="65">
                  <c:v>472.5</c:v>
                </c:pt>
                <c:pt idx="66">
                  <c:v>479</c:v>
                </c:pt>
                <c:pt idx="67">
                  <c:v>485.5</c:v>
                </c:pt>
                <c:pt idx="68">
                  <c:v>492</c:v>
                </c:pt>
                <c:pt idx="69">
                  <c:v>498.5</c:v>
                </c:pt>
                <c:pt idx="70">
                  <c:v>505</c:v>
                </c:pt>
                <c:pt idx="71">
                  <c:v>511.5</c:v>
                </c:pt>
                <c:pt idx="72">
                  <c:v>518</c:v>
                </c:pt>
                <c:pt idx="73">
                  <c:v>524.5</c:v>
                </c:pt>
                <c:pt idx="74">
                  <c:v>531</c:v>
                </c:pt>
                <c:pt idx="75">
                  <c:v>537.5</c:v>
                </c:pt>
                <c:pt idx="76">
                  <c:v>544</c:v>
                </c:pt>
                <c:pt idx="77">
                  <c:v>550.5</c:v>
                </c:pt>
                <c:pt idx="78">
                  <c:v>557</c:v>
                </c:pt>
                <c:pt idx="79">
                  <c:v>563.5</c:v>
                </c:pt>
                <c:pt idx="80">
                  <c:v>570</c:v>
                </c:pt>
                <c:pt idx="81">
                  <c:v>576.5</c:v>
                </c:pt>
                <c:pt idx="82">
                  <c:v>583</c:v>
                </c:pt>
                <c:pt idx="83">
                  <c:v>589.5</c:v>
                </c:pt>
                <c:pt idx="84">
                  <c:v>596</c:v>
                </c:pt>
                <c:pt idx="85">
                  <c:v>602.5</c:v>
                </c:pt>
                <c:pt idx="86">
                  <c:v>609</c:v>
                </c:pt>
                <c:pt idx="87">
                  <c:v>615.5</c:v>
                </c:pt>
                <c:pt idx="88">
                  <c:v>622</c:v>
                </c:pt>
                <c:pt idx="89">
                  <c:v>628.5</c:v>
                </c:pt>
                <c:pt idx="90">
                  <c:v>635</c:v>
                </c:pt>
                <c:pt idx="91">
                  <c:v>641.5</c:v>
                </c:pt>
                <c:pt idx="92">
                  <c:v>648</c:v>
                </c:pt>
                <c:pt idx="93">
                  <c:v>654.5</c:v>
                </c:pt>
                <c:pt idx="94">
                  <c:v>661</c:v>
                </c:pt>
                <c:pt idx="95">
                  <c:v>667.5</c:v>
                </c:pt>
                <c:pt idx="96">
                  <c:v>674</c:v>
                </c:pt>
                <c:pt idx="97">
                  <c:v>680.5</c:v>
                </c:pt>
                <c:pt idx="98">
                  <c:v>687</c:v>
                </c:pt>
                <c:pt idx="99">
                  <c:v>693.5</c:v>
                </c:pt>
              </c:numCache>
            </c:numRef>
          </c:cat>
          <c:val>
            <c:numRef>
              <c:f>'Calculs lentille'!$O$16:$O$115</c:f>
              <c:numCache>
                <c:formatCode>0.00E+00</c:formatCode>
                <c:ptCount val="100"/>
                <c:pt idx="0">
                  <c:v>1.7086395090390747E-9</c:v>
                </c:pt>
                <c:pt idx="1">
                  <c:v>8.0495718631710878E-10</c:v>
                </c:pt>
                <c:pt idx="2">
                  <c:v>5.0147101204161232E-10</c:v>
                </c:pt>
                <c:pt idx="3">
                  <c:v>3.5449255799482839E-10</c:v>
                </c:pt>
                <c:pt idx="4">
                  <c:v>2.7224351059708575E-10</c:v>
                </c:pt>
                <c:pt idx="5">
                  <c:v>2.2331247661094966E-10</c:v>
                </c:pt>
                <c:pt idx="6">
                  <c:v>2.1151597021028055E-10</c:v>
                </c:pt>
                <c:pt idx="7">
                  <c:v>2.1136690120174344E-10</c:v>
                </c:pt>
                <c:pt idx="8">
                  <c:v>2.1392532479832457E-10</c:v>
                </c:pt>
                <c:pt idx="9">
                  <c:v>2.1880448883036406E-10</c:v>
                </c:pt>
                <c:pt idx="10">
                  <c:v>2.2565461048909905E-10</c:v>
                </c:pt>
                <c:pt idx="11">
                  <c:v>2.3424234361439664E-10</c:v>
                </c:pt>
                <c:pt idx="12">
                  <c:v>2.4447300848862279E-10</c:v>
                </c:pt>
                <c:pt idx="13">
                  <c:v>2.5605722558068595E-10</c:v>
                </c:pt>
                <c:pt idx="14">
                  <c:v>2.688851994437423E-10</c:v>
                </c:pt>
                <c:pt idx="15">
                  <c:v>2.8287812303295714E-10</c:v>
                </c:pt>
                <c:pt idx="16">
                  <c:v>2.9780189332281015E-10</c:v>
                </c:pt>
                <c:pt idx="17">
                  <c:v>3.1364310436212064E-10</c:v>
                </c:pt>
                <c:pt idx="18">
                  <c:v>3.3011948078880311E-10</c:v>
                </c:pt>
                <c:pt idx="19">
                  <c:v>3.4716599387469884E-10</c:v>
                </c:pt>
                <c:pt idx="20">
                  <c:v>3.6472184093995261E-10</c:v>
                </c:pt>
                <c:pt idx="21">
                  <c:v>3.8253582927224804E-10</c:v>
                </c:pt>
                <c:pt idx="22">
                  <c:v>4.0062844325776949E-10</c:v>
                </c:pt>
                <c:pt idx="23">
                  <c:v>4.1884792217417651E-10</c:v>
                </c:pt>
                <c:pt idx="24">
                  <c:v>4.3716407745570865E-10</c:v>
                </c:pt>
                <c:pt idx="25">
                  <c:v>4.5563240658120761E-10</c:v>
                </c:pt>
                <c:pt idx="26">
                  <c:v>4.7399543888150527E-10</c:v>
                </c:pt>
                <c:pt idx="27">
                  <c:v>4.9240965518752523E-10</c:v>
                </c:pt>
                <c:pt idx="28">
                  <c:v>5.1085188528145365E-10</c:v>
                </c:pt>
                <c:pt idx="29">
                  <c:v>5.2936073275451874E-10</c:v>
                </c:pt>
                <c:pt idx="30">
                  <c:v>5.4785997004049709E-10</c:v>
                </c:pt>
                <c:pt idx="31">
                  <c:v>5.662809672373942E-10</c:v>
                </c:pt>
                <c:pt idx="32">
                  <c:v>5.8457124975347315E-10</c:v>
                </c:pt>
                <c:pt idx="33">
                  <c:v>6.0300478276911964E-10</c:v>
                </c:pt>
                <c:pt idx="34">
                  <c:v>6.216444392145047E-10</c:v>
                </c:pt>
                <c:pt idx="35">
                  <c:v>6.4006277394087021E-10</c:v>
                </c:pt>
                <c:pt idx="36">
                  <c:v>6.5894110848631933E-10</c:v>
                </c:pt>
                <c:pt idx="37">
                  <c:v>6.7754912413175642E-10</c:v>
                </c:pt>
                <c:pt idx="38">
                  <c:v>6.9672627734320589E-10</c:v>
                </c:pt>
                <c:pt idx="39">
                  <c:v>7.156573980637994E-10</c:v>
                </c:pt>
                <c:pt idx="40">
                  <c:v>7.3497669763914791E-10</c:v>
                </c:pt>
                <c:pt idx="41">
                  <c:v>7.5457950553918193E-10</c:v>
                </c:pt>
                <c:pt idx="42">
                  <c:v>7.7437615783004947E-10</c:v>
                </c:pt>
                <c:pt idx="43">
                  <c:v>7.9430574061086303E-10</c:v>
                </c:pt>
                <c:pt idx="44">
                  <c:v>8.147196112201287E-10</c:v>
                </c:pt>
                <c:pt idx="45">
                  <c:v>8.3560480559987034E-10</c:v>
                </c:pt>
                <c:pt idx="46">
                  <c:v>8.5690162942922473E-10</c:v>
                </c:pt>
                <c:pt idx="47">
                  <c:v>8.7856860396148445E-10</c:v>
                </c:pt>
                <c:pt idx="48">
                  <c:v>9.0052168769839889E-10</c:v>
                </c:pt>
                <c:pt idx="49">
                  <c:v>9.2336205255341715E-10</c:v>
                </c:pt>
                <c:pt idx="50">
                  <c:v>9.4710702759428235E-10</c:v>
                </c:pt>
                <c:pt idx="51">
                  <c:v>9.7106324545519174E-10</c:v>
                </c:pt>
                <c:pt idx="52">
                  <c:v>9.9589987905619098E-10</c:v>
                </c:pt>
                <c:pt idx="53">
                  <c:v>1.0216300615642045E-9</c:v>
                </c:pt>
                <c:pt idx="54">
                  <c:v>1.0482656066039701E-9</c:v>
                </c:pt>
                <c:pt idx="55">
                  <c:v>1.0758362449963017E-9</c:v>
                </c:pt>
                <c:pt idx="56">
                  <c:v>1.1043613196454569E-9</c:v>
                </c:pt>
                <c:pt idx="57">
                  <c:v>1.1338621992530347E-9</c:v>
                </c:pt>
                <c:pt idx="58">
                  <c:v>1.1653186957218027E-9</c:v>
                </c:pt>
                <c:pt idx="59">
                  <c:v>1.1968841981621709E-9</c:v>
                </c:pt>
                <c:pt idx="60">
                  <c:v>1.2305633780291922E-9</c:v>
                </c:pt>
                <c:pt idx="61">
                  <c:v>1.2665257199648772E-9</c:v>
                </c:pt>
                <c:pt idx="62">
                  <c:v>1.3038168915385172E-9</c:v>
                </c:pt>
                <c:pt idx="63">
                  <c:v>1.3425043583540945E-9</c:v>
                </c:pt>
                <c:pt idx="64">
                  <c:v>1.3834024045811435E-9</c:v>
                </c:pt>
                <c:pt idx="65">
                  <c:v>1.4268205487249327E-9</c:v>
                </c:pt>
                <c:pt idx="66">
                  <c:v>1.4727040678761873E-9</c:v>
                </c:pt>
                <c:pt idx="67">
                  <c:v>1.5212671845566298E-9</c:v>
                </c:pt>
                <c:pt idx="68">
                  <c:v>1.5728959613625803E-9</c:v>
                </c:pt>
                <c:pt idx="69">
                  <c:v>1.6280364192999056E-9</c:v>
                </c:pt>
                <c:pt idx="70">
                  <c:v>1.6868783966182327E-9</c:v>
                </c:pt>
                <c:pt idx="71">
                  <c:v>1.7498186984433758E-9</c:v>
                </c:pt>
                <c:pt idx="72">
                  <c:v>1.8174778832500312E-9</c:v>
                </c:pt>
                <c:pt idx="73">
                  <c:v>1.8904072600103862E-9</c:v>
                </c:pt>
                <c:pt idx="74">
                  <c:v>1.969235900241086E-9</c:v>
                </c:pt>
                <c:pt idx="75">
                  <c:v>2.0547049225286154E-9</c:v>
                </c:pt>
                <c:pt idx="76">
                  <c:v>2.147929638363173E-9</c:v>
                </c:pt>
                <c:pt idx="77">
                  <c:v>2.2497608628120911E-9</c:v>
                </c:pt>
                <c:pt idx="78">
                  <c:v>2.3614649403602395E-9</c:v>
                </c:pt>
                <c:pt idx="79">
                  <c:v>2.4848338363973316E-9</c:v>
                </c:pt>
                <c:pt idx="80">
                  <c:v>2.6220898266780992E-9</c:v>
                </c:pt>
                <c:pt idx="81">
                  <c:v>2.7750388800170887E-9</c:v>
                </c:pt>
                <c:pt idx="82">
                  <c:v>2.9469387227467995E-9</c:v>
                </c:pt>
                <c:pt idx="83">
                  <c:v>3.1415325702320499E-9</c:v>
                </c:pt>
                <c:pt idx="84">
                  <c:v>3.3640297599173131E-9</c:v>
                </c:pt>
                <c:pt idx="85">
                  <c:v>3.6204545922842202E-9</c:v>
                </c:pt>
                <c:pt idx="86">
                  <c:v>3.9192458175462089E-9</c:v>
                </c:pt>
                <c:pt idx="87">
                  <c:v>4.2723640301663029E-9</c:v>
                </c:pt>
                <c:pt idx="88">
                  <c:v>4.6955223983038441E-9</c:v>
                </c:pt>
                <c:pt idx="89">
                  <c:v>5.2126052225765382E-9</c:v>
                </c:pt>
                <c:pt idx="90">
                  <c:v>5.8579834929757468E-9</c:v>
                </c:pt>
                <c:pt idx="91">
                  <c:v>6.6872513495549037E-9</c:v>
                </c:pt>
                <c:pt idx="92">
                  <c:v>7.7919569968731538E-9</c:v>
                </c:pt>
                <c:pt idx="93">
                  <c:v>9.335410913861427E-9</c:v>
                </c:pt>
                <c:pt idx="94">
                  <c:v>1.1647584106469642E-8</c:v>
                </c:pt>
                <c:pt idx="95">
                  <c:v>1.5487378457380176E-8</c:v>
                </c:pt>
                <c:pt idx="96">
                  <c:v>2.312270673849308E-8</c:v>
                </c:pt>
                <c:pt idx="97">
                  <c:v>4.5681150995508703E-8</c:v>
                </c:pt>
                <c:pt idx="98">
                  <c:v>1.0041204852836032E-7</c:v>
                </c:pt>
                <c:pt idx="99">
                  <c:v>2.5080883101785323E-7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2F7-A244-DDC7D6CC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168240"/>
        <c:axId val="1"/>
      </c:lineChart>
      <c:catAx>
        <c:axId val="351168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3071099975255"/>
              <c:y val="0.910449972913685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1E-8"/>
        <c:auto val="1"/>
        <c:lblAlgn val="ctr"/>
        <c:lblOffset val="100"/>
        <c:tickLblSkip val="10"/>
        <c:tickMarkSkip val="10"/>
        <c:noMultiLvlLbl val="0"/>
      </c:catAx>
      <c:valAx>
        <c:axId val="1"/>
        <c:scaling>
          <c:logBase val="10"/>
          <c:orientation val="minMax"/>
          <c:max val="1.0000000000000005E-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flux (ph/cm2/s/keV)</a:t>
                </a:r>
              </a:p>
            </c:rich>
          </c:tx>
          <c:layout>
            <c:manualLayout>
              <c:xMode val="edge"/>
              <c:yMode val="edge"/>
              <c:x val="2.3890804889815827E-2"/>
              <c:y val="0.363184961872672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1168240"/>
        <c:crosses val="autoZero"/>
        <c:crossBetween val="between"/>
      </c:valAx>
      <c:spPr>
        <a:solidFill>
          <a:srgbClr val="C0C0C0"/>
        </a:solidFill>
        <a:ln w="25400">
          <a:solidFill>
            <a:srgbClr val="0000D4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sensibilité PHEMTO lentille</a:t>
            </a:r>
          </a:p>
        </c:rich>
      </c:tx>
      <c:layout>
        <c:manualLayout>
          <c:xMode val="edge"/>
          <c:yMode val="edge"/>
          <c:x val="0.23053089954664754"/>
          <c:y val="4.228855721393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36000628126613"/>
          <c:y val="0.17412977624032241"/>
          <c:w val="0.7677993135473451"/>
          <c:h val="0.65920558148122055"/>
        </c:manualLayout>
      </c:layout>
      <c:lineChart>
        <c:grouping val="standard"/>
        <c:varyColors val="0"/>
        <c:ser>
          <c:idx val="0"/>
          <c:order val="0"/>
          <c:tx>
            <c:v>sensibilité</c:v>
          </c:tx>
          <c:marker>
            <c:symbol val="none"/>
          </c:marker>
          <c:cat>
            <c:numRef>
              <c:f>'Calculs lentille'!$B$16:$B$115</c:f>
              <c:numCache>
                <c:formatCode>0.00</c:formatCode>
                <c:ptCount val="100"/>
                <c:pt idx="0">
                  <c:v>50</c:v>
                </c:pt>
                <c:pt idx="1">
                  <c:v>56.5</c:v>
                </c:pt>
                <c:pt idx="2">
                  <c:v>63</c:v>
                </c:pt>
                <c:pt idx="3">
                  <c:v>69.5</c:v>
                </c:pt>
                <c:pt idx="4">
                  <c:v>76</c:v>
                </c:pt>
                <c:pt idx="5">
                  <c:v>82.5</c:v>
                </c:pt>
                <c:pt idx="6">
                  <c:v>89</c:v>
                </c:pt>
                <c:pt idx="7">
                  <c:v>95.5</c:v>
                </c:pt>
                <c:pt idx="8">
                  <c:v>102</c:v>
                </c:pt>
                <c:pt idx="9">
                  <c:v>108.5</c:v>
                </c:pt>
                <c:pt idx="10">
                  <c:v>115</c:v>
                </c:pt>
                <c:pt idx="11">
                  <c:v>121.5</c:v>
                </c:pt>
                <c:pt idx="12">
                  <c:v>128</c:v>
                </c:pt>
                <c:pt idx="13">
                  <c:v>134.5</c:v>
                </c:pt>
                <c:pt idx="14">
                  <c:v>141</c:v>
                </c:pt>
                <c:pt idx="15">
                  <c:v>147.5</c:v>
                </c:pt>
                <c:pt idx="16">
                  <c:v>154</c:v>
                </c:pt>
                <c:pt idx="17">
                  <c:v>160.5</c:v>
                </c:pt>
                <c:pt idx="18">
                  <c:v>167</c:v>
                </c:pt>
                <c:pt idx="19">
                  <c:v>173.5</c:v>
                </c:pt>
                <c:pt idx="20">
                  <c:v>180</c:v>
                </c:pt>
                <c:pt idx="21">
                  <c:v>186.5</c:v>
                </c:pt>
                <c:pt idx="22">
                  <c:v>193</c:v>
                </c:pt>
                <c:pt idx="23">
                  <c:v>199.5</c:v>
                </c:pt>
                <c:pt idx="24">
                  <c:v>206</c:v>
                </c:pt>
                <c:pt idx="25">
                  <c:v>212.5</c:v>
                </c:pt>
                <c:pt idx="26">
                  <c:v>219</c:v>
                </c:pt>
                <c:pt idx="27">
                  <c:v>225.5</c:v>
                </c:pt>
                <c:pt idx="28">
                  <c:v>232</c:v>
                </c:pt>
                <c:pt idx="29">
                  <c:v>238.5</c:v>
                </c:pt>
                <c:pt idx="30">
                  <c:v>245</c:v>
                </c:pt>
                <c:pt idx="31">
                  <c:v>251.5</c:v>
                </c:pt>
                <c:pt idx="32">
                  <c:v>258</c:v>
                </c:pt>
                <c:pt idx="33">
                  <c:v>264.5</c:v>
                </c:pt>
                <c:pt idx="34">
                  <c:v>271</c:v>
                </c:pt>
                <c:pt idx="35">
                  <c:v>277.5</c:v>
                </c:pt>
                <c:pt idx="36">
                  <c:v>284</c:v>
                </c:pt>
                <c:pt idx="37">
                  <c:v>290.5</c:v>
                </c:pt>
                <c:pt idx="38">
                  <c:v>297</c:v>
                </c:pt>
                <c:pt idx="39">
                  <c:v>303.5</c:v>
                </c:pt>
                <c:pt idx="40">
                  <c:v>310</c:v>
                </c:pt>
                <c:pt idx="41">
                  <c:v>316.5</c:v>
                </c:pt>
                <c:pt idx="42">
                  <c:v>323</c:v>
                </c:pt>
                <c:pt idx="43">
                  <c:v>329.5</c:v>
                </c:pt>
                <c:pt idx="44">
                  <c:v>336</c:v>
                </c:pt>
                <c:pt idx="45">
                  <c:v>342.5</c:v>
                </c:pt>
                <c:pt idx="46">
                  <c:v>349</c:v>
                </c:pt>
                <c:pt idx="47">
                  <c:v>355.5</c:v>
                </c:pt>
                <c:pt idx="48">
                  <c:v>362</c:v>
                </c:pt>
                <c:pt idx="49">
                  <c:v>368.5</c:v>
                </c:pt>
                <c:pt idx="50">
                  <c:v>375</c:v>
                </c:pt>
                <c:pt idx="51">
                  <c:v>381.5</c:v>
                </c:pt>
                <c:pt idx="52">
                  <c:v>388</c:v>
                </c:pt>
                <c:pt idx="53">
                  <c:v>394.5</c:v>
                </c:pt>
                <c:pt idx="54">
                  <c:v>401</c:v>
                </c:pt>
                <c:pt idx="55">
                  <c:v>407.5</c:v>
                </c:pt>
                <c:pt idx="56">
                  <c:v>414</c:v>
                </c:pt>
                <c:pt idx="57">
                  <c:v>420.5</c:v>
                </c:pt>
                <c:pt idx="58">
                  <c:v>427</c:v>
                </c:pt>
                <c:pt idx="59">
                  <c:v>433.5</c:v>
                </c:pt>
                <c:pt idx="60">
                  <c:v>440</c:v>
                </c:pt>
                <c:pt idx="61">
                  <c:v>446.5</c:v>
                </c:pt>
                <c:pt idx="62">
                  <c:v>453</c:v>
                </c:pt>
                <c:pt idx="63">
                  <c:v>459.5</c:v>
                </c:pt>
                <c:pt idx="64">
                  <c:v>466</c:v>
                </c:pt>
                <c:pt idx="65">
                  <c:v>472.5</c:v>
                </c:pt>
                <c:pt idx="66">
                  <c:v>479</c:v>
                </c:pt>
                <c:pt idx="67">
                  <c:v>485.5</c:v>
                </c:pt>
                <c:pt idx="68">
                  <c:v>492</c:v>
                </c:pt>
                <c:pt idx="69">
                  <c:v>498.5</c:v>
                </c:pt>
                <c:pt idx="70">
                  <c:v>505</c:v>
                </c:pt>
                <c:pt idx="71">
                  <c:v>511.5</c:v>
                </c:pt>
                <c:pt idx="72">
                  <c:v>518</c:v>
                </c:pt>
                <c:pt idx="73">
                  <c:v>524.5</c:v>
                </c:pt>
                <c:pt idx="74">
                  <c:v>531</c:v>
                </c:pt>
                <c:pt idx="75">
                  <c:v>537.5</c:v>
                </c:pt>
                <c:pt idx="76">
                  <c:v>544</c:v>
                </c:pt>
                <c:pt idx="77">
                  <c:v>550.5</c:v>
                </c:pt>
                <c:pt idx="78">
                  <c:v>557</c:v>
                </c:pt>
                <c:pt idx="79">
                  <c:v>563.5</c:v>
                </c:pt>
                <c:pt idx="80">
                  <c:v>570</c:v>
                </c:pt>
                <c:pt idx="81">
                  <c:v>576.5</c:v>
                </c:pt>
                <c:pt idx="82">
                  <c:v>583</c:v>
                </c:pt>
                <c:pt idx="83">
                  <c:v>589.5</c:v>
                </c:pt>
                <c:pt idx="84">
                  <c:v>596</c:v>
                </c:pt>
                <c:pt idx="85">
                  <c:v>602.5</c:v>
                </c:pt>
                <c:pt idx="86">
                  <c:v>609</c:v>
                </c:pt>
                <c:pt idx="87">
                  <c:v>615.5</c:v>
                </c:pt>
                <c:pt idx="88">
                  <c:v>622</c:v>
                </c:pt>
                <c:pt idx="89">
                  <c:v>628.5</c:v>
                </c:pt>
                <c:pt idx="90">
                  <c:v>635</c:v>
                </c:pt>
                <c:pt idx="91">
                  <c:v>641.5</c:v>
                </c:pt>
                <c:pt idx="92">
                  <c:v>648</c:v>
                </c:pt>
                <c:pt idx="93">
                  <c:v>654.5</c:v>
                </c:pt>
                <c:pt idx="94">
                  <c:v>661</c:v>
                </c:pt>
                <c:pt idx="95">
                  <c:v>667.5</c:v>
                </c:pt>
                <c:pt idx="96">
                  <c:v>674</c:v>
                </c:pt>
                <c:pt idx="97">
                  <c:v>680.5</c:v>
                </c:pt>
                <c:pt idx="98">
                  <c:v>687</c:v>
                </c:pt>
                <c:pt idx="99">
                  <c:v>693.5</c:v>
                </c:pt>
              </c:numCache>
            </c:numRef>
          </c:cat>
          <c:val>
            <c:numRef>
              <c:f>'Calculs lentille'!$P$16:$P$115</c:f>
              <c:numCache>
                <c:formatCode>0.00E+00</c:formatCode>
                <c:ptCount val="100"/>
                <c:pt idx="0">
                  <c:v>6.8438585881638752E-15</c:v>
                </c:pt>
                <c:pt idx="1">
                  <c:v>4.1169941684269892E-15</c:v>
                </c:pt>
                <c:pt idx="2">
                  <c:v>3.1888750787692574E-15</c:v>
                </c:pt>
                <c:pt idx="3">
                  <c:v>2.7433884491690953E-15</c:v>
                </c:pt>
                <c:pt idx="4">
                  <c:v>2.5193893850095466E-15</c:v>
                </c:pt>
                <c:pt idx="5">
                  <c:v>2.4351821932935474E-15</c:v>
                </c:pt>
                <c:pt idx="6">
                  <c:v>2.6843166876684893E-15</c:v>
                </c:pt>
                <c:pt idx="7">
                  <c:v>3.0885475916329666E-15</c:v>
                </c:pt>
                <c:pt idx="8">
                  <c:v>3.5659324977819759E-15</c:v>
                </c:pt>
                <c:pt idx="9">
                  <c:v>4.1269221651892375E-15</c:v>
                </c:pt>
                <c:pt idx="10">
                  <c:v>4.7813492356350382E-15</c:v>
                </c:pt>
                <c:pt idx="11">
                  <c:v>5.5402394407864095E-15</c:v>
                </c:pt>
                <c:pt idx="12">
                  <c:v>6.4174342908015204E-15</c:v>
                </c:pt>
                <c:pt idx="13">
                  <c:v>7.4215083168323303E-15</c:v>
                </c:pt>
                <c:pt idx="14">
                  <c:v>8.564769847315017E-15</c:v>
                </c:pt>
                <c:pt idx="15">
                  <c:v>9.8603873664039268E-15</c:v>
                </c:pt>
                <c:pt idx="16">
                  <c:v>1.1315649074012284E-14</c:v>
                </c:pt>
                <c:pt idx="17">
                  <c:v>1.2944831195932538E-14</c:v>
                </c:pt>
                <c:pt idx="18">
                  <c:v>1.4750769272249733E-14</c:v>
                </c:pt>
                <c:pt idx="19">
                  <c:v>1.6743517887329361E-14</c:v>
                </c:pt>
                <c:pt idx="20">
                  <c:v>1.8932909361529767E-14</c:v>
                </c:pt>
                <c:pt idx="21">
                  <c:v>2.1317700927521945E-14</c:v>
                </c:pt>
                <c:pt idx="22">
                  <c:v>2.3909306079894606E-14</c:v>
                </c:pt>
                <c:pt idx="23">
                  <c:v>2.6708699362931626E-14</c:v>
                </c:pt>
                <c:pt idx="24">
                  <c:v>2.972278383506497E-14</c:v>
                </c:pt>
                <c:pt idx="25">
                  <c:v>3.2964238562809039E-14</c:v>
                </c:pt>
                <c:pt idx="26">
                  <c:v>3.6422769594448582E-14</c:v>
                </c:pt>
                <c:pt idx="27">
                  <c:v>4.0117164260072903E-14</c:v>
                </c:pt>
                <c:pt idx="28">
                  <c:v>4.4053614238258263E-14</c:v>
                </c:pt>
                <c:pt idx="29">
                  <c:v>4.8243528445240176E-14</c:v>
                </c:pt>
                <c:pt idx="30">
                  <c:v>5.2688072674843299E-14</c:v>
                </c:pt>
                <c:pt idx="31">
                  <c:v>5.7387660214609686E-14</c:v>
                </c:pt>
                <c:pt idx="32">
                  <c:v>6.2342962862420013E-14</c:v>
                </c:pt>
                <c:pt idx="33">
                  <c:v>6.7590036939241938E-14</c:v>
                </c:pt>
                <c:pt idx="34">
                  <c:v>7.314610568284047E-14</c:v>
                </c:pt>
                <c:pt idx="35">
                  <c:v>7.8969450955491869E-14</c:v>
                </c:pt>
                <c:pt idx="36">
                  <c:v>8.5151804643140612E-14</c:v>
                </c:pt>
                <c:pt idx="37">
                  <c:v>9.1610158791498626E-14</c:v>
                </c:pt>
                <c:pt idx="38">
                  <c:v>9.8465856593212821E-14</c:v>
                </c:pt>
                <c:pt idx="39">
                  <c:v>1.0561683045018725E-13</c:v>
                </c:pt>
                <c:pt idx="40">
                  <c:v>1.1316380247279364E-13</c:v>
                </c:pt>
                <c:pt idx="41">
                  <c:v>1.2110526059117789E-13</c:v>
                </c:pt>
                <c:pt idx="42">
                  <c:v>1.2943972810026965E-13</c:v>
                </c:pt>
                <c:pt idx="43">
                  <c:v>1.3816852247354314E-13</c:v>
                </c:pt>
                <c:pt idx="44">
                  <c:v>1.4736600133890983E-13</c:v>
                </c:pt>
                <c:pt idx="45">
                  <c:v>1.5704808853691548E-13</c:v>
                </c:pt>
                <c:pt idx="46">
                  <c:v>1.6722160859908902E-13</c:v>
                </c:pt>
                <c:pt idx="47">
                  <c:v>1.7789570541542949E-13</c:v>
                </c:pt>
                <c:pt idx="48">
                  <c:v>1.8906968120850866E-13</c:v>
                </c:pt>
                <c:pt idx="49">
                  <c:v>2.0088965874403019E-13</c:v>
                </c:pt>
                <c:pt idx="50">
                  <c:v>2.1338906910216087E-13</c:v>
                </c:pt>
                <c:pt idx="51">
                  <c:v>2.2643688681499753E-13</c:v>
                </c:pt>
                <c:pt idx="52">
                  <c:v>2.4020923774402354E-13</c:v>
                </c:pt>
                <c:pt idx="53">
                  <c:v>2.5474065019265842E-13</c:v>
                </c:pt>
                <c:pt idx="54">
                  <c:v>2.700664628782343E-13</c:v>
                </c:pt>
                <c:pt idx="55">
                  <c:v>2.8622790512462859E-13</c:v>
                </c:pt>
                <c:pt idx="56">
                  <c:v>3.0326510650849741E-13</c:v>
                </c:pt>
                <c:pt idx="57">
                  <c:v>3.2122020249613259E-13</c:v>
                </c:pt>
                <c:pt idx="58">
                  <c:v>3.4041684191844675E-13</c:v>
                </c:pt>
                <c:pt idx="59">
                  <c:v>3.603635952796542E-13</c:v>
                </c:pt>
                <c:pt idx="60">
                  <c:v>3.8169802555080409E-13</c:v>
                </c:pt>
                <c:pt idx="61">
                  <c:v>4.0454563017061092E-13</c:v>
                </c:pt>
                <c:pt idx="62">
                  <c:v>4.2867048420865148E-13</c:v>
                </c:pt>
                <c:pt idx="63">
                  <c:v>4.5414789964400188E-13</c:v>
                </c:pt>
                <c:pt idx="64">
                  <c:v>4.8131670380159944E-13</c:v>
                </c:pt>
                <c:pt idx="65">
                  <c:v>5.1036813973338544E-13</c:v>
                </c:pt>
                <c:pt idx="66">
                  <c:v>5.4137361728665652E-13</c:v>
                </c:pt>
                <c:pt idx="67">
                  <c:v>5.7450596188558548E-13</c:v>
                </c:pt>
                <c:pt idx="68">
                  <c:v>6.1001536922783798E-13</c:v>
                </c:pt>
                <c:pt idx="69">
                  <c:v>6.48194013058772E-13</c:v>
                </c:pt>
                <c:pt idx="70">
                  <c:v>6.8925052706201598E-13</c:v>
                </c:pt>
                <c:pt idx="71">
                  <c:v>7.334911926078919E-13</c:v>
                </c:pt>
                <c:pt idx="72">
                  <c:v>7.8133850715485272E-13</c:v>
                </c:pt>
                <c:pt idx="73">
                  <c:v>8.3321472388142991E-13</c:v>
                </c:pt>
                <c:pt idx="74">
                  <c:v>8.8960529873734494E-13</c:v>
                </c:pt>
                <c:pt idx="75">
                  <c:v>9.5107983293767153E-13</c:v>
                </c:pt>
                <c:pt idx="76">
                  <c:v>1.0184235288375254E-12</c:v>
                </c:pt>
                <c:pt idx="77">
                  <c:v>1.0923494097204493E-12</c:v>
                </c:pt>
                <c:pt idx="78">
                  <c:v>1.1738225997742447E-12</c:v>
                </c:pt>
                <c:pt idx="79">
                  <c:v>1.2641417284117346E-12</c:v>
                </c:pt>
                <c:pt idx="80">
                  <c:v>1.3649220543511037E-12</c:v>
                </c:pt>
                <c:pt idx="81">
                  <c:v>1.4776727678997652E-12</c:v>
                </c:pt>
                <c:pt idx="82">
                  <c:v>1.6047921423316168E-12</c:v>
                </c:pt>
                <c:pt idx="83">
                  <c:v>1.74912062074942E-12</c:v>
                </c:pt>
                <c:pt idx="84">
                  <c:v>1.9145332926191674E-12</c:v>
                </c:pt>
                <c:pt idx="85">
                  <c:v>2.1056577431417087E-12</c:v>
                </c:pt>
                <c:pt idx="86">
                  <c:v>2.3288829591440521E-12</c:v>
                </c:pt>
                <c:pt idx="87">
                  <c:v>2.5931935863162696E-12</c:v>
                </c:pt>
                <c:pt idx="88">
                  <c:v>2.9105513122147474E-12</c:v>
                </c:pt>
                <c:pt idx="89">
                  <c:v>3.2989518218746411E-12</c:v>
                </c:pt>
                <c:pt idx="90">
                  <c:v>3.7844795988564905E-12</c:v>
                </c:pt>
                <c:pt idx="91">
                  <c:v>4.4091161813559156E-12</c:v>
                </c:pt>
                <c:pt idx="92">
                  <c:v>5.2421221083700579E-12</c:v>
                </c:pt>
                <c:pt idx="93">
                  <c:v>6.4071267407337581E-12</c:v>
                </c:pt>
                <c:pt idx="94">
                  <c:v>8.153598993640392E-12</c:v>
                </c:pt>
                <c:pt idx="95">
                  <c:v>1.1055821683360235E-11</c:v>
                </c:pt>
                <c:pt idx="96">
                  <c:v>1.6829415718875541E-11</c:v>
                </c:pt>
                <c:pt idx="97">
                  <c:v>3.389252080599061E-11</c:v>
                </c:pt>
                <c:pt idx="98">
                  <c:v>7.5929383849908048E-11</c:v>
                </c:pt>
                <c:pt idx="99">
                  <c:v>1.9326193747748322E-10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0-4DA9-A85A-8AF78F22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168240"/>
        <c:axId val="1"/>
      </c:lineChart>
      <c:catAx>
        <c:axId val="351168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Energie (keV)</a:t>
                </a:r>
              </a:p>
            </c:rich>
          </c:tx>
          <c:layout>
            <c:manualLayout>
              <c:xMode val="edge"/>
              <c:yMode val="edge"/>
              <c:x val="0.40273071099975255"/>
              <c:y val="0.910449972913685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At val="1E-8"/>
        <c:auto val="1"/>
        <c:lblAlgn val="ctr"/>
        <c:lblOffset val="100"/>
        <c:tickLblSkip val="10"/>
        <c:tickMarkSkip val="10"/>
        <c:noMultiLvlLbl val="0"/>
      </c:catAx>
      <c:valAx>
        <c:axId val="1"/>
        <c:scaling>
          <c:logBase val="10"/>
          <c:orientation val="minMax"/>
          <c:max val="1.0000000000000006E-11"/>
          <c:min val="1.0000000000000009E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flux (erg/cm2/s)</a:t>
                </a:r>
              </a:p>
            </c:rich>
          </c:tx>
          <c:layout>
            <c:manualLayout>
              <c:xMode val="edge"/>
              <c:yMode val="edge"/>
              <c:x val="2.3890804889815827E-2"/>
              <c:y val="0.363184961872672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51168240"/>
        <c:crosses val="autoZero"/>
        <c:crossBetween val="between"/>
      </c:valAx>
      <c:spPr>
        <a:solidFill>
          <a:srgbClr val="C0C0C0"/>
        </a:solidFill>
        <a:ln w="25400">
          <a:solidFill>
            <a:srgbClr val="0000D4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MDP</a:t>
            </a:r>
          </a:p>
        </c:rich>
      </c:tx>
      <c:layout>
        <c:manualLayout>
          <c:xMode val="edge"/>
          <c:yMode val="edge"/>
          <c:x val="0.86069348088245723"/>
          <c:y val="6.0109289617486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MDP!$P$12:$P$19</c:f>
              <c:numCache>
                <c:formatCode>General</c:formatCode>
                <c:ptCount val="8"/>
                <c:pt idx="0">
                  <c:v>63</c:v>
                </c:pt>
                <c:pt idx="1">
                  <c:v>89</c:v>
                </c:pt>
                <c:pt idx="2">
                  <c:v>128</c:v>
                </c:pt>
                <c:pt idx="3">
                  <c:v>180</c:v>
                </c:pt>
                <c:pt idx="4">
                  <c:v>232</c:v>
                </c:pt>
                <c:pt idx="5">
                  <c:v>284</c:v>
                </c:pt>
                <c:pt idx="6">
                  <c:v>336</c:v>
                </c:pt>
                <c:pt idx="7">
                  <c:v>388</c:v>
                </c:pt>
              </c:numCache>
            </c:numRef>
          </c:cat>
          <c:val>
            <c:numRef>
              <c:f>MDP!$T$12:$T$19</c:f>
              <c:numCache>
                <c:formatCode>0.00</c:formatCode>
                <c:ptCount val="8"/>
                <c:pt idx="0">
                  <c:v>0.12136519666238299</c:v>
                </c:pt>
                <c:pt idx="1">
                  <c:v>0.12132771538522304</c:v>
                </c:pt>
                <c:pt idx="2">
                  <c:v>0.21240553469904885</c:v>
                </c:pt>
                <c:pt idx="3">
                  <c:v>0.48572392898439853</c:v>
                </c:pt>
                <c:pt idx="4">
                  <c:v>1.0421383387953296</c:v>
                </c:pt>
                <c:pt idx="5">
                  <c:v>2.0329610842833747</c:v>
                </c:pt>
                <c:pt idx="6">
                  <c:v>3.6611853173153643</c:v>
                </c:pt>
                <c:pt idx="7">
                  <c:v>6.2590225528360959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D-4E94-82E3-193501C8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906968"/>
        <c:axId val="322827128"/>
      </c:lineChart>
      <c:catAx>
        <c:axId val="32190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2827128"/>
        <c:crosses val="autoZero"/>
        <c:auto val="1"/>
        <c:lblAlgn val="ctr"/>
        <c:lblOffset val="100"/>
        <c:noMultiLvlLbl val="0"/>
      </c:catAx>
      <c:valAx>
        <c:axId val="32282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1906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438149</xdr:colOff>
      <xdr:row>12</xdr:row>
      <xdr:rowOff>152399</xdr:rowOff>
    </xdr:from>
    <xdr:to>
      <xdr:col>22</xdr:col>
      <xdr:colOff>314324</xdr:colOff>
      <xdr:row>37</xdr:row>
      <xdr:rowOff>142874</xdr:rowOff>
    </xdr:to>
    <xdr:graphicFrame macro="">
      <xdr:nvGraphicFramePr>
        <xdr:cNvPr id="129025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38</xdr:row>
      <xdr:rowOff>95250</xdr:rowOff>
    </xdr:from>
    <xdr:to>
      <xdr:col>22</xdr:col>
      <xdr:colOff>304800</xdr:colOff>
      <xdr:row>63</xdr:row>
      <xdr:rowOff>114300</xdr:rowOff>
    </xdr:to>
    <xdr:graphicFrame macro="">
      <xdr:nvGraphicFramePr>
        <xdr:cNvPr id="3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10</xdr:row>
      <xdr:rowOff>66675</xdr:rowOff>
    </xdr:from>
    <xdr:to>
      <xdr:col>22</xdr:col>
      <xdr:colOff>552450</xdr:colOff>
      <xdr:row>34</xdr:row>
      <xdr:rowOff>57150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657225</xdr:colOff>
      <xdr:row>35</xdr:row>
      <xdr:rowOff>19050</xdr:rowOff>
    </xdr:from>
    <xdr:to>
      <xdr:col>22</xdr:col>
      <xdr:colOff>542925</xdr:colOff>
      <xdr:row>60</xdr:row>
      <xdr:rowOff>38100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28576</xdr:colOff>
      <xdr:row>23</xdr:row>
      <xdr:rowOff>57150</xdr:rowOff>
    </xdr:from>
    <xdr:to>
      <xdr:col>19</xdr:col>
      <xdr:colOff>247651</xdr:colOff>
      <xdr:row>38</xdr:row>
      <xdr:rowOff>95250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26</xdr:row>
      <xdr:rowOff>85725</xdr:rowOff>
    </xdr:from>
    <xdr:to>
      <xdr:col>10</xdr:col>
      <xdr:colOff>190500</xdr:colOff>
      <xdr:row>31</xdr:row>
      <xdr:rowOff>104775</xdr:rowOff>
    </xdr:to>
    <xdr:sp macro="" textlink="">
      <xdr:nvSpPr>
        <xdr:cNvPr id="130049" name="Rectangle 1"/>
        <xdr:cNvSpPr>
          <a:spLocks noChangeArrowheads="1"/>
        </xdr:cNvSpPr>
      </xdr:nvSpPr>
      <xdr:spPr bwMode="auto">
        <a:xfrm>
          <a:off x="6457950" y="4048125"/>
          <a:ext cx="1685925" cy="781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619125</xdr:colOff>
      <xdr:row>2</xdr:row>
      <xdr:rowOff>0</xdr:rowOff>
    </xdr:from>
    <xdr:to>
      <xdr:col>9</xdr:col>
      <xdr:colOff>752475</xdr:colOff>
      <xdr:row>13</xdr:row>
      <xdr:rowOff>28575</xdr:rowOff>
    </xdr:to>
    <xdr:sp macro="" textlink="">
      <xdr:nvSpPr>
        <xdr:cNvPr id="130050" name="Rectangle 2"/>
        <xdr:cNvSpPr>
          <a:spLocks noChangeArrowheads="1"/>
        </xdr:cNvSpPr>
      </xdr:nvSpPr>
      <xdr:spPr bwMode="auto">
        <a:xfrm>
          <a:off x="6286500" y="304800"/>
          <a:ext cx="1657350" cy="1704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190500</xdr:colOff>
      <xdr:row>18</xdr:row>
      <xdr:rowOff>123825</xdr:rowOff>
    </xdr:from>
    <xdr:to>
      <xdr:col>8</xdr:col>
      <xdr:colOff>504825</xdr:colOff>
      <xdr:row>26</xdr:row>
      <xdr:rowOff>76200</xdr:rowOff>
    </xdr:to>
    <xdr:sp macro="" textlink="">
      <xdr:nvSpPr>
        <xdr:cNvPr id="130052" name="AutoShape 4"/>
        <xdr:cNvSpPr>
          <a:spLocks noChangeArrowheads="1"/>
        </xdr:cNvSpPr>
      </xdr:nvSpPr>
      <xdr:spPr bwMode="auto">
        <a:xfrm>
          <a:off x="6619875" y="2867025"/>
          <a:ext cx="314325" cy="1171575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D4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390525</xdr:colOff>
      <xdr:row>13</xdr:row>
      <xdr:rowOff>28575</xdr:rowOff>
    </xdr:from>
    <xdr:to>
      <xdr:col>8</xdr:col>
      <xdr:colOff>66675</xdr:colOff>
      <xdr:row>13</xdr:row>
      <xdr:rowOff>28575</xdr:rowOff>
    </xdr:to>
    <xdr:sp macro="" textlink="">
      <xdr:nvSpPr>
        <xdr:cNvPr id="130053" name="Line 5"/>
        <xdr:cNvSpPr>
          <a:spLocks noChangeShapeType="1"/>
        </xdr:cNvSpPr>
      </xdr:nvSpPr>
      <xdr:spPr bwMode="auto">
        <a:xfrm flipH="1">
          <a:off x="5295900" y="2009775"/>
          <a:ext cx="12001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DD0806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542925</xdr:colOff>
      <xdr:row>13</xdr:row>
      <xdr:rowOff>9525</xdr:rowOff>
    </xdr:from>
    <xdr:to>
      <xdr:col>9</xdr:col>
      <xdr:colOff>133350</xdr:colOff>
      <xdr:row>13</xdr:row>
      <xdr:rowOff>19050</xdr:rowOff>
    </xdr:to>
    <xdr:sp macro="" textlink="">
      <xdr:nvSpPr>
        <xdr:cNvPr id="130054" name="Line 6"/>
        <xdr:cNvSpPr>
          <a:spLocks noChangeShapeType="1"/>
        </xdr:cNvSpPr>
      </xdr:nvSpPr>
      <xdr:spPr bwMode="auto">
        <a:xfrm flipH="1">
          <a:off x="6972300" y="1990725"/>
          <a:ext cx="352425" cy="952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DD0806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66675</xdr:colOff>
      <xdr:row>1</xdr:row>
      <xdr:rowOff>142875</xdr:rowOff>
    </xdr:from>
    <xdr:to>
      <xdr:col>8</xdr:col>
      <xdr:colOff>552450</xdr:colOff>
      <xdr:row>13</xdr:row>
      <xdr:rowOff>28575</xdr:rowOff>
    </xdr:to>
    <xdr:sp macro="" textlink="">
      <xdr:nvSpPr>
        <xdr:cNvPr id="130055" name="Rectangle 7" descr="blanc)"/>
        <xdr:cNvSpPr>
          <a:spLocks noChangeArrowheads="1"/>
        </xdr:cNvSpPr>
      </xdr:nvSpPr>
      <xdr:spPr bwMode="auto">
        <a:xfrm>
          <a:off x="6496050" y="295275"/>
          <a:ext cx="485775" cy="1714500"/>
        </a:xfrm>
        <a:prstGeom prst="rect">
          <a:avLst/>
        </a:prstGeom>
        <a:pattFill prst="dkDnDiag">
          <a:fgClr>
            <a:srgbClr xmlns:mc="http://schemas.openxmlformats.org/markup-compatibility/2006" xmlns:a14="http://schemas.microsoft.com/office/drawing/2010/main" val="000000" mc:Ignorable="a14" a14:legacySpreadsheetColorIndex="8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457199</xdr:colOff>
      <xdr:row>13</xdr:row>
      <xdr:rowOff>95249</xdr:rowOff>
    </xdr:from>
    <xdr:to>
      <xdr:col>10</xdr:col>
      <xdr:colOff>695324</xdr:colOff>
      <xdr:row>14</xdr:row>
      <xdr:rowOff>133349</xdr:rowOff>
    </xdr:to>
    <xdr:sp macro="" textlink="">
      <xdr:nvSpPr>
        <xdr:cNvPr id="130056" name="Line 8"/>
        <xdr:cNvSpPr>
          <a:spLocks noChangeShapeType="1"/>
        </xdr:cNvSpPr>
      </xdr:nvSpPr>
      <xdr:spPr bwMode="auto">
        <a:xfrm flipH="1" flipV="1">
          <a:off x="8410574" y="2076449"/>
          <a:ext cx="238125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38099</xdr:colOff>
      <xdr:row>19</xdr:row>
      <xdr:rowOff>133349</xdr:rowOff>
    </xdr:from>
    <xdr:to>
      <xdr:col>12</xdr:col>
      <xdr:colOff>47624</xdr:colOff>
      <xdr:row>23</xdr:row>
      <xdr:rowOff>9524</xdr:rowOff>
    </xdr:to>
    <xdr:sp macro="" textlink="">
      <xdr:nvSpPr>
        <xdr:cNvPr id="130057" name="Line 9"/>
        <xdr:cNvSpPr>
          <a:spLocks noChangeShapeType="1"/>
        </xdr:cNvSpPr>
      </xdr:nvSpPr>
      <xdr:spPr bwMode="auto">
        <a:xfrm flipH="1">
          <a:off x="7991474" y="3028949"/>
          <a:ext cx="1533525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523875</xdr:colOff>
      <xdr:row>4</xdr:row>
      <xdr:rowOff>9525</xdr:rowOff>
    </xdr:from>
    <xdr:to>
      <xdr:col>11</xdr:col>
      <xdr:colOff>152400</xdr:colOff>
      <xdr:row>8</xdr:row>
      <xdr:rowOff>47625</xdr:rowOff>
    </xdr:to>
    <xdr:sp macro="" textlink="">
      <xdr:nvSpPr>
        <xdr:cNvPr id="130058" name="Line 10"/>
        <xdr:cNvSpPr>
          <a:spLocks noChangeShapeType="1"/>
        </xdr:cNvSpPr>
      </xdr:nvSpPr>
      <xdr:spPr bwMode="auto">
        <a:xfrm flipH="1">
          <a:off x="6953250" y="619125"/>
          <a:ext cx="1914525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257175</xdr:colOff>
      <xdr:row>26</xdr:row>
      <xdr:rowOff>19050</xdr:rowOff>
    </xdr:from>
    <xdr:to>
      <xdr:col>8</xdr:col>
      <xdr:colOff>419100</xdr:colOff>
      <xdr:row>26</xdr:row>
      <xdr:rowOff>95250</xdr:rowOff>
    </xdr:to>
    <xdr:sp macro="" textlink="">
      <xdr:nvSpPr>
        <xdr:cNvPr id="130059" name="Rectangle 11"/>
        <xdr:cNvSpPr>
          <a:spLocks noChangeArrowheads="1"/>
        </xdr:cNvSpPr>
      </xdr:nvSpPr>
      <xdr:spPr bwMode="auto">
        <a:xfrm>
          <a:off x="6686550" y="3981450"/>
          <a:ext cx="1619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DD0806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752475</xdr:colOff>
      <xdr:row>25</xdr:row>
      <xdr:rowOff>85725</xdr:rowOff>
    </xdr:from>
    <xdr:to>
      <xdr:col>12</xdr:col>
      <xdr:colOff>85725</xdr:colOff>
      <xdr:row>26</xdr:row>
      <xdr:rowOff>47625</xdr:rowOff>
    </xdr:to>
    <xdr:sp macro="" textlink="">
      <xdr:nvSpPr>
        <xdr:cNvPr id="130060" name="Line 12"/>
        <xdr:cNvSpPr>
          <a:spLocks noChangeShapeType="1"/>
        </xdr:cNvSpPr>
      </xdr:nvSpPr>
      <xdr:spPr bwMode="auto">
        <a:xfrm flipH="1">
          <a:off x="7943850" y="3895725"/>
          <a:ext cx="161925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438150</xdr:colOff>
      <xdr:row>18</xdr:row>
      <xdr:rowOff>133350</xdr:rowOff>
    </xdr:from>
    <xdr:to>
      <xdr:col>9</xdr:col>
      <xdr:colOff>752475</xdr:colOff>
      <xdr:row>26</xdr:row>
      <xdr:rowOff>85725</xdr:rowOff>
    </xdr:to>
    <xdr:sp macro="" textlink="">
      <xdr:nvSpPr>
        <xdr:cNvPr id="13" name="AutoShape 4"/>
        <xdr:cNvSpPr>
          <a:spLocks noChangeArrowheads="1"/>
        </xdr:cNvSpPr>
      </xdr:nvSpPr>
      <xdr:spPr bwMode="auto">
        <a:xfrm>
          <a:off x="7629525" y="2876550"/>
          <a:ext cx="314325" cy="1171575"/>
        </a:xfrm>
        <a:custGeom>
          <a:avLst/>
          <a:gdLst>
            <a:gd name="G0" fmla="+- 5400 0 0"/>
            <a:gd name="G1" fmla="+- 21600 0 5400"/>
            <a:gd name="G2" fmla="*/ 5400 1 2"/>
            <a:gd name="G3" fmla="+- 21600 0 G2"/>
            <a:gd name="G4" fmla="+/ 5400 21600 2"/>
            <a:gd name="G5" fmla="+/ G1 0 2"/>
            <a:gd name="G6" fmla="*/ 21600 21600 5400"/>
            <a:gd name="G7" fmla="*/ G6 1 2"/>
            <a:gd name="G8" fmla="+- 21600 0 G7"/>
            <a:gd name="G9" fmla="*/ 21600 1 2"/>
            <a:gd name="G10" fmla="+- 5400 0 G9"/>
            <a:gd name="G11" fmla="?: G10 G8 0"/>
            <a:gd name="G12" fmla="?: G10 G7 21600"/>
            <a:gd name="T0" fmla="*/ 18900 w 21600"/>
            <a:gd name="T1" fmla="*/ 10800 h 21600"/>
            <a:gd name="T2" fmla="*/ 10800 w 21600"/>
            <a:gd name="T3" fmla="*/ 21600 h 21600"/>
            <a:gd name="T4" fmla="*/ 2700 w 21600"/>
            <a:gd name="T5" fmla="*/ 10800 h 21600"/>
            <a:gd name="T6" fmla="*/ 10800 w 21600"/>
            <a:gd name="T7" fmla="*/ 0 h 21600"/>
            <a:gd name="T8" fmla="*/ 4500 w 21600"/>
            <a:gd name="T9" fmla="*/ 4500 h 21600"/>
            <a:gd name="T10" fmla="*/ 17100 w 21600"/>
            <a:gd name="T11" fmla="*/ 171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D4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504825</xdr:colOff>
      <xdr:row>26</xdr:row>
      <xdr:rowOff>28575</xdr:rowOff>
    </xdr:from>
    <xdr:to>
      <xdr:col>9</xdr:col>
      <xdr:colOff>666750</xdr:colOff>
      <xdr:row>26</xdr:row>
      <xdr:rowOff>104775</xdr:rowOff>
    </xdr:to>
    <xdr:sp macro="" textlink="">
      <xdr:nvSpPr>
        <xdr:cNvPr id="14" name="Rectangle 11"/>
        <xdr:cNvSpPr>
          <a:spLocks noChangeArrowheads="1"/>
        </xdr:cNvSpPr>
      </xdr:nvSpPr>
      <xdr:spPr bwMode="auto">
        <a:xfrm>
          <a:off x="7696200" y="3990975"/>
          <a:ext cx="1619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DD0806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133350</xdr:colOff>
      <xdr:row>12</xdr:row>
      <xdr:rowOff>76200</xdr:rowOff>
    </xdr:from>
    <xdr:to>
      <xdr:col>10</xdr:col>
      <xdr:colOff>161925</xdr:colOff>
      <xdr:row>13</xdr:row>
      <xdr:rowOff>38100</xdr:rowOff>
    </xdr:to>
    <xdr:sp macro="" textlink="">
      <xdr:nvSpPr>
        <xdr:cNvPr id="2" name="Rectangle 1"/>
        <xdr:cNvSpPr/>
      </xdr:nvSpPr>
      <xdr:spPr bwMode="auto">
        <a:xfrm>
          <a:off x="7324725" y="1905000"/>
          <a:ext cx="790575" cy="114300"/>
        </a:xfrm>
        <a:prstGeom prst="rect">
          <a:avLst/>
        </a:prstGeom>
        <a:solidFill>
          <a:schemeClr val="bg2">
            <a:lumMod val="9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161925</xdr:colOff>
      <xdr:row>13</xdr:row>
      <xdr:rowOff>0</xdr:rowOff>
    </xdr:from>
    <xdr:to>
      <xdr:col>11</xdr:col>
      <xdr:colOff>600075</xdr:colOff>
      <xdr:row>13</xdr:row>
      <xdr:rowOff>0</xdr:rowOff>
    </xdr:to>
    <xdr:sp macro="" textlink="">
      <xdr:nvSpPr>
        <xdr:cNvPr id="16" name="Line 5"/>
        <xdr:cNvSpPr>
          <a:spLocks noChangeShapeType="1"/>
        </xdr:cNvSpPr>
      </xdr:nvSpPr>
      <xdr:spPr bwMode="auto">
        <a:xfrm flipH="1">
          <a:off x="8115300" y="1981200"/>
          <a:ext cx="12001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DD0806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504825</xdr:colOff>
      <xdr:row>7</xdr:row>
      <xdr:rowOff>123825</xdr:rowOff>
    </xdr:from>
    <xdr:to>
      <xdr:col>12</xdr:col>
      <xdr:colOff>133350</xdr:colOff>
      <xdr:row>12</xdr:row>
      <xdr:rowOff>9525</xdr:rowOff>
    </xdr:to>
    <xdr:sp macro="" textlink="">
      <xdr:nvSpPr>
        <xdr:cNvPr id="17" name="Line 10"/>
        <xdr:cNvSpPr>
          <a:spLocks noChangeShapeType="1"/>
        </xdr:cNvSpPr>
      </xdr:nvSpPr>
      <xdr:spPr bwMode="auto">
        <a:xfrm flipH="1">
          <a:off x="7696200" y="1190625"/>
          <a:ext cx="1914525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200"/>
  <sheetViews>
    <sheetView topLeftCell="A11" workbookViewId="0">
      <selection activeCell="B19" sqref="B19"/>
    </sheetView>
  </sheetViews>
  <sheetFormatPr baseColWidth="10" defaultRowHeight="12"/>
  <cols>
    <col min="1" max="1" width="11.42578125" style="3"/>
    <col min="2" max="2" width="12.85546875" style="3" customWidth="1"/>
    <col min="3" max="3" width="8.7109375" style="3" customWidth="1"/>
    <col min="4" max="4" width="9.42578125" style="3" bestFit="1" customWidth="1"/>
    <col min="5" max="5" width="9.85546875" style="3" customWidth="1"/>
    <col min="6" max="6" width="11.85546875" style="3" customWidth="1"/>
    <col min="7" max="7" width="12.85546875" style="3" customWidth="1"/>
    <col min="8" max="8" width="14.42578125" style="3" customWidth="1"/>
    <col min="9" max="9" width="13.140625" style="3" customWidth="1"/>
    <col min="10" max="10" width="8.7109375" style="3" bestFit="1" customWidth="1"/>
    <col min="11" max="11" width="10" style="3" customWidth="1"/>
    <col min="12" max="12" width="9.28515625" style="3" bestFit="1" customWidth="1"/>
    <col min="13" max="13" width="12.140625" style="3" bestFit="1" customWidth="1"/>
    <col min="14" max="14" width="12.28515625" style="3" customWidth="1"/>
    <col min="15" max="15" width="12.140625" style="4" customWidth="1"/>
    <col min="16" max="16" width="9.28515625" style="4" customWidth="1"/>
    <col min="18" max="18" width="11.42578125" style="3"/>
    <col min="20" max="16384" width="11.42578125" style="3"/>
  </cols>
  <sheetData>
    <row r="1" spans="2:20" ht="12.75" thickTop="1">
      <c r="F1" s="26"/>
      <c r="G1" s="27"/>
      <c r="H1" s="27"/>
      <c r="I1" s="27"/>
      <c r="J1" s="27"/>
      <c r="K1" s="27"/>
      <c r="L1" s="27"/>
      <c r="M1" s="28"/>
    </row>
    <row r="2" spans="2:20" ht="18">
      <c r="B2" s="138" t="s">
        <v>31</v>
      </c>
      <c r="C2" s="138"/>
      <c r="D2" s="138"/>
      <c r="E2" s="139"/>
      <c r="F2" s="140" t="s">
        <v>128</v>
      </c>
      <c r="G2" s="141"/>
      <c r="H2" s="141"/>
      <c r="I2" s="141"/>
      <c r="J2" s="141"/>
      <c r="K2" s="141"/>
      <c r="L2" s="42" t="s">
        <v>129</v>
      </c>
      <c r="M2" s="32"/>
    </row>
    <row r="3" spans="2:20" ht="12.75" thickBot="1">
      <c r="F3" s="29"/>
      <c r="G3" s="30"/>
      <c r="H3" s="30"/>
      <c r="I3" s="30"/>
      <c r="J3" s="30"/>
      <c r="K3" s="30"/>
      <c r="L3" s="30"/>
      <c r="M3" s="31"/>
    </row>
    <row r="4" spans="2:20" ht="14.25" thickTop="1" thickBot="1">
      <c r="B4" s="1" t="s">
        <v>50</v>
      </c>
      <c r="C4" s="3">
        <v>11.3</v>
      </c>
      <c r="D4" s="3" t="s">
        <v>37</v>
      </c>
      <c r="E4" s="4" t="s">
        <v>76</v>
      </c>
      <c r="F4" s="34">
        <v>202</v>
      </c>
      <c r="G4" s="3" t="s">
        <v>40</v>
      </c>
      <c r="H4" s="3" t="s">
        <v>44</v>
      </c>
      <c r="I4" s="3">
        <v>1</v>
      </c>
      <c r="J4" s="3" t="s">
        <v>37</v>
      </c>
      <c r="K4" s="33" t="s">
        <v>103</v>
      </c>
      <c r="L4" s="34">
        <v>10</v>
      </c>
      <c r="M4" s="3" t="s">
        <v>100</v>
      </c>
      <c r="N4" s="45" t="s">
        <v>19</v>
      </c>
      <c r="O4" s="34">
        <v>0.5</v>
      </c>
      <c r="P4" s="14"/>
      <c r="S4" s="52"/>
      <c r="T4" s="72" t="s">
        <v>136</v>
      </c>
    </row>
    <row r="5" spans="2:20" ht="14.25" thickTop="1" thickBot="1">
      <c r="B5" s="1" t="s">
        <v>56</v>
      </c>
      <c r="C5" s="3">
        <v>16.649999999999999</v>
      </c>
      <c r="D5" s="3" t="s">
        <v>37</v>
      </c>
      <c r="E5" s="4" t="s">
        <v>77</v>
      </c>
      <c r="F5" s="34">
        <f>15.2/2</f>
        <v>7.6</v>
      </c>
      <c r="G5" s="3" t="s">
        <v>40</v>
      </c>
      <c r="H5" s="3" t="s">
        <v>45</v>
      </c>
      <c r="I5" s="3">
        <v>6.2</v>
      </c>
      <c r="J5" s="3" t="s">
        <v>37</v>
      </c>
      <c r="K5" s="3" t="s">
        <v>101</v>
      </c>
      <c r="L5" s="34">
        <v>50</v>
      </c>
      <c r="M5" s="3" t="s">
        <v>102</v>
      </c>
      <c r="N5" s="3" t="s">
        <v>55</v>
      </c>
      <c r="O5" s="34">
        <v>3</v>
      </c>
      <c r="P5" s="14"/>
      <c r="S5" s="3" t="s">
        <v>131</v>
      </c>
      <c r="T5" s="56">
        <f>SUM(P20:P28)</f>
        <v>1.0290495617788869E-14</v>
      </c>
    </row>
    <row r="6" spans="2:20" ht="14.25" thickTop="1" thickBot="1">
      <c r="B6" s="1" t="s">
        <v>124</v>
      </c>
      <c r="C6" s="34">
        <v>0.13</v>
      </c>
      <c r="D6" s="3" t="s">
        <v>40</v>
      </c>
      <c r="E6" s="13" t="s">
        <v>39</v>
      </c>
      <c r="F6" s="34">
        <v>190</v>
      </c>
      <c r="G6" s="3" t="s">
        <v>40</v>
      </c>
      <c r="H6" s="3" t="s">
        <v>46</v>
      </c>
      <c r="I6" s="34">
        <v>4.4999999999999998E-2</v>
      </c>
      <c r="J6" s="3" t="s">
        <v>40</v>
      </c>
      <c r="K6" s="4" t="s">
        <v>41</v>
      </c>
      <c r="L6" s="34">
        <v>2000</v>
      </c>
      <c r="M6" s="3" t="s">
        <v>40</v>
      </c>
      <c r="N6" s="3" t="s">
        <v>57</v>
      </c>
      <c r="O6" s="34">
        <v>1000000</v>
      </c>
      <c r="P6" s="14"/>
      <c r="S6" s="3" t="s">
        <v>132</v>
      </c>
      <c r="T6" s="57">
        <f>SUM(P29:P40)</f>
        <v>4.8320405670026746E-14</v>
      </c>
    </row>
    <row r="7" spans="2:20" ht="14.25" thickTop="1" thickBot="1">
      <c r="B7" s="2" t="s">
        <v>125</v>
      </c>
      <c r="C7" s="41">
        <v>0.01</v>
      </c>
      <c r="D7" s="3" t="s">
        <v>40</v>
      </c>
      <c r="H7" s="3" t="s">
        <v>47</v>
      </c>
      <c r="I7" s="34">
        <v>0.2</v>
      </c>
      <c r="J7" s="3" t="s">
        <v>40</v>
      </c>
      <c r="K7" s="4" t="s">
        <v>104</v>
      </c>
      <c r="L7" s="34">
        <v>37.5</v>
      </c>
      <c r="M7" s="3" t="s">
        <v>40</v>
      </c>
      <c r="N7" s="44" t="s">
        <v>111</v>
      </c>
      <c r="S7" s="3" t="s">
        <v>133</v>
      </c>
      <c r="T7" s="57">
        <f>SUM(P41:P65)</f>
        <v>4.5747684626253393E-13</v>
      </c>
    </row>
    <row r="8" spans="2:20" ht="14.25" thickTop="1" thickBot="1">
      <c r="B8" s="133" t="s">
        <v>94</v>
      </c>
      <c r="C8" s="129"/>
      <c r="D8" s="35">
        <f>2*3.1415928*(1-$L$6/SQRT($L$6*$L$6+$L$7*$L$7))</f>
        <v>1.1041750873626833E-3</v>
      </c>
      <c r="E8" s="1" t="s">
        <v>38</v>
      </c>
      <c r="H8" s="3" t="s">
        <v>65</v>
      </c>
      <c r="I8" s="34">
        <v>1.2999999999999999E-2</v>
      </c>
      <c r="J8" s="3" t="s">
        <v>40</v>
      </c>
      <c r="K8" s="44" t="s">
        <v>121</v>
      </c>
      <c r="O8" s="3"/>
      <c r="P8" s="3"/>
      <c r="S8" s="3" t="s">
        <v>134</v>
      </c>
      <c r="T8" s="58">
        <f>SUM(P66:P115)</f>
        <v>5.6083926486052992E-12</v>
      </c>
    </row>
    <row r="9" spans="2:20" ht="13.5" thickTop="1">
      <c r="B9" s="133" t="s">
        <v>95</v>
      </c>
      <c r="C9" s="129"/>
      <c r="D9" s="35">
        <f>2*3.1415928*(1-$L$6/SQRT($L$6*$L$6+$F$6*$F$6))</f>
        <v>2.8162393540696811E-2</v>
      </c>
      <c r="E9" s="1" t="s">
        <v>38</v>
      </c>
      <c r="L9" s="129" t="s">
        <v>130</v>
      </c>
      <c r="M9" s="129"/>
      <c r="N9" s="37">
        <f>$L$6*TAN($L$4*PI()/180/3600/2)</f>
        <v>4.8481368120449654E-2</v>
      </c>
      <c r="O9" s="3" t="s">
        <v>40</v>
      </c>
      <c r="P9" s="3"/>
      <c r="S9" s="3" t="s">
        <v>135</v>
      </c>
      <c r="T9" s="59">
        <f>SUM(P20:P115)</f>
        <v>6.1244803961556486E-12</v>
      </c>
    </row>
    <row r="10" spans="2:20">
      <c r="B10" s="133" t="s">
        <v>97</v>
      </c>
      <c r="C10" s="129"/>
      <c r="D10" s="35">
        <f>2*3.1415928-$D$11</f>
        <v>4.4423580987178468E-3</v>
      </c>
      <c r="E10" s="3" t="s">
        <v>38</v>
      </c>
      <c r="F10" s="4"/>
      <c r="G10" s="4"/>
      <c r="H10" s="4"/>
      <c r="I10" s="3" t="s">
        <v>80</v>
      </c>
      <c r="J10" s="37">
        <f>3.1415928*$C$6*(3+$F$5-$C$6)*$C$4*$F$4/1000</f>
        <v>9.760447726078608</v>
      </c>
      <c r="K10" s="3" t="s">
        <v>78</v>
      </c>
      <c r="L10" s="129" t="s">
        <v>75</v>
      </c>
      <c r="M10" s="129"/>
      <c r="N10" s="35">
        <f>3.1415928*$L$6*TAN($L$4*PI()/180/3600/2)*$L$6*TAN($L$4*PI()/180/3600/2)</f>
        <v>7.3841349778656683E-3</v>
      </c>
      <c r="O10" s="3" t="s">
        <v>62</v>
      </c>
      <c r="P10" s="67"/>
      <c r="S10" s="3"/>
    </row>
    <row r="11" spans="2:20">
      <c r="B11" s="133" t="s">
        <v>96</v>
      </c>
      <c r="C11" s="129"/>
      <c r="D11" s="35">
        <f>2*3.1415928*$F$4/SQRT($F$4*$F$4+$F$5*$F$5)</f>
        <v>6.2787432419012825</v>
      </c>
      <c r="E11" s="3" t="s">
        <v>38</v>
      </c>
      <c r="F11" s="129" t="s">
        <v>120</v>
      </c>
      <c r="G11" s="129"/>
      <c r="H11" s="129"/>
      <c r="I11" s="3" t="s">
        <v>81</v>
      </c>
      <c r="J11" s="37">
        <f>3.1415928*($F$6*$F$6-$L$7*$L$7)*$C$7*$C$5/1000</f>
        <v>18.1474402616325</v>
      </c>
      <c r="K11" s="3" t="s">
        <v>78</v>
      </c>
      <c r="L11" s="129" t="s">
        <v>72</v>
      </c>
      <c r="M11" s="129"/>
      <c r="N11" s="36">
        <f>INT($N$10/$I$8/$I$8)</f>
        <v>43</v>
      </c>
    </row>
    <row r="12" spans="2:20">
      <c r="B12" s="133" t="s">
        <v>98</v>
      </c>
      <c r="C12" s="129"/>
      <c r="D12" s="36">
        <f>MAX(2*3.1415928-$D$11-$D$9,0)</f>
        <v>0</v>
      </c>
      <c r="E12" s="3" t="s">
        <v>38</v>
      </c>
      <c r="I12" s="3" t="s">
        <v>79</v>
      </c>
      <c r="J12" s="37">
        <f>SUM(J10:J11)</f>
        <v>27.907887987711106</v>
      </c>
      <c r="K12" s="3" t="s">
        <v>78</v>
      </c>
      <c r="O12" s="3"/>
      <c r="P12" s="3"/>
    </row>
    <row r="13" spans="2:20">
      <c r="B13" s="69"/>
      <c r="C13" s="68"/>
      <c r="D13" s="76"/>
      <c r="J13" s="77"/>
      <c r="O13" s="3"/>
      <c r="P13" s="3"/>
    </row>
    <row r="14" spans="2:20" ht="12.75" customHeight="1">
      <c r="B14" s="130" t="s">
        <v>36</v>
      </c>
      <c r="C14" s="134" t="s">
        <v>138</v>
      </c>
      <c r="D14" s="134" t="s">
        <v>139</v>
      </c>
      <c r="E14" s="134" t="s">
        <v>140</v>
      </c>
      <c r="F14" s="136" t="s">
        <v>141</v>
      </c>
      <c r="G14" s="136" t="s">
        <v>145</v>
      </c>
      <c r="H14" s="136" t="s">
        <v>144</v>
      </c>
      <c r="I14" s="136" t="s">
        <v>143</v>
      </c>
      <c r="J14" s="136" t="s">
        <v>142</v>
      </c>
      <c r="K14" s="131" t="s">
        <v>43</v>
      </c>
      <c r="L14" s="131" t="s">
        <v>48</v>
      </c>
      <c r="M14" s="131" t="s">
        <v>35</v>
      </c>
      <c r="N14" s="131" t="s">
        <v>49</v>
      </c>
      <c r="O14" s="142" t="s">
        <v>92</v>
      </c>
      <c r="P14" s="143"/>
    </row>
    <row r="15" spans="2:20" ht="12.75" customHeight="1">
      <c r="B15" s="130"/>
      <c r="C15" s="135"/>
      <c r="D15" s="135"/>
      <c r="E15" s="135"/>
      <c r="F15" s="137"/>
      <c r="G15" s="137"/>
      <c r="H15" s="137"/>
      <c r="I15" s="137"/>
      <c r="J15" s="137"/>
      <c r="K15" s="132"/>
      <c r="L15" s="132"/>
      <c r="M15" s="132"/>
      <c r="N15" s="132"/>
      <c r="O15" s="144"/>
      <c r="P15" s="145"/>
    </row>
    <row r="16" spans="2:20">
      <c r="B16" s="70" t="s">
        <v>34</v>
      </c>
      <c r="C16" s="70" t="s">
        <v>33</v>
      </c>
      <c r="D16" s="70" t="s">
        <v>42</v>
      </c>
      <c r="E16" s="70" t="s">
        <v>42</v>
      </c>
      <c r="F16" s="70"/>
      <c r="G16" s="70"/>
      <c r="H16" s="70" t="s">
        <v>42</v>
      </c>
      <c r="I16" s="70" t="s">
        <v>42</v>
      </c>
      <c r="J16" s="70"/>
      <c r="K16" s="25" t="s">
        <v>105</v>
      </c>
      <c r="L16" s="70" t="s">
        <v>32</v>
      </c>
      <c r="M16" s="70" t="s">
        <v>32</v>
      </c>
      <c r="N16" s="70" t="s">
        <v>32</v>
      </c>
      <c r="O16" s="70" t="s">
        <v>93</v>
      </c>
      <c r="P16" s="70" t="s">
        <v>136</v>
      </c>
    </row>
    <row r="17" spans="2:16">
      <c r="B17" s="158">
        <v>1.6060606100000001</v>
      </c>
      <c r="C17" s="159">
        <v>666.73710000000005</v>
      </c>
      <c r="D17" s="159">
        <v>1360</v>
      </c>
      <c r="E17" s="159">
        <v>2040</v>
      </c>
      <c r="F17" s="159">
        <f t="shared" ref="F17:F19" si="0">EXP(-$C$5*$C$6*E17)</f>
        <v>0</v>
      </c>
      <c r="G17" s="159">
        <f t="shared" ref="G17:G19" si="1">EXP(-1*D17*$C$5*$C$7)</f>
        <v>4.5536276745751511E-99</v>
      </c>
      <c r="H17" s="160">
        <v>445</v>
      </c>
      <c r="I17" s="160">
        <v>2800</v>
      </c>
      <c r="J17" s="159">
        <f t="shared" ref="J17:J19" si="2">1-EXP(-H17*$I$4*$I$6)*EXP(-I17*$I$5*$I$7)</f>
        <v>1</v>
      </c>
      <c r="K17" s="161">
        <f t="shared" ref="K17:K19" si="3">MIN(167*POWER(B17,-2.38),11.6*POWER(B17,-1.41))</f>
        <v>5.9474892648798257</v>
      </c>
      <c r="L17" s="162">
        <f t="shared" ref="L17:L19" si="4">K17*$N$10*J17*(G17*($D$10-$D$8)+MAX(G17*F17*($D$9-$D$10),0)+F17*$D$11+$D$12)</f>
        <v>6.6757636739922164E-103</v>
      </c>
      <c r="M17" s="162">
        <f t="shared" ref="M17:M19" si="5">0.0000198*$K$120</f>
        <v>7.3259999999999998E-6</v>
      </c>
      <c r="N17" s="162">
        <f t="shared" ref="N17:N19" si="6">L17+M17</f>
        <v>7.3259999999999998E-6</v>
      </c>
      <c r="O17" s="163">
        <f>100*$O$5*SQRT(N17)/(C17*J17*SQRT(($O$4*B17)*$O$6))/$L$5</f>
        <v>2.7180917867323354E-8</v>
      </c>
      <c r="P17" s="73">
        <f>O17*B17*B17*0.0000000016021773</f>
        <v>1.1233072298166556E-16</v>
      </c>
    </row>
    <row r="18" spans="2:16">
      <c r="B18" s="15">
        <v>2.4090909100000002</v>
      </c>
      <c r="C18" s="16">
        <v>601.33892500000002</v>
      </c>
      <c r="D18" s="16">
        <v>2760</v>
      </c>
      <c r="E18" s="16">
        <v>856</v>
      </c>
      <c r="F18" s="16">
        <f t="shared" si="0"/>
        <v>0</v>
      </c>
      <c r="G18" s="16">
        <f t="shared" si="1"/>
        <v>2.6565242590039449E-200</v>
      </c>
      <c r="H18" s="20">
        <v>1810</v>
      </c>
      <c r="I18" s="20">
        <v>1050</v>
      </c>
      <c r="J18" s="16">
        <f t="shared" si="2"/>
        <v>1</v>
      </c>
      <c r="K18" s="17">
        <f t="shared" si="3"/>
        <v>3.3577239839177753</v>
      </c>
      <c r="L18" s="18">
        <f t="shared" si="4"/>
        <v>2.1987130209723021E-204</v>
      </c>
      <c r="M18" s="18">
        <f t="shared" si="5"/>
        <v>7.3259999999999998E-6</v>
      </c>
      <c r="N18" s="18">
        <f t="shared" si="6"/>
        <v>7.3259999999999998E-6</v>
      </c>
      <c r="O18" s="19">
        <f t="shared" ref="O18:O19" si="7">100*$O$5*SQRT(N18)/(C18*J18*SQRT(($O$4*B18)*$O$6))/$L$5</f>
        <v>2.46067237728376E-8</v>
      </c>
      <c r="P18" s="74">
        <f>O18*B18*B18*0.0000000016021773</f>
        <v>2.2880775828362728E-16</v>
      </c>
    </row>
    <row r="19" spans="2:16">
      <c r="B19" s="15">
        <v>3.2121212099999998</v>
      </c>
      <c r="C19" s="16">
        <v>614.65187400000002</v>
      </c>
      <c r="D19" s="16">
        <v>1560</v>
      </c>
      <c r="E19" s="16">
        <v>1920</v>
      </c>
      <c r="F19" s="16">
        <f t="shared" si="0"/>
        <v>0</v>
      </c>
      <c r="G19" s="16">
        <f t="shared" si="1"/>
        <v>1.5716334748472161E-113</v>
      </c>
      <c r="H19" s="20">
        <v>811</v>
      </c>
      <c r="I19" s="20">
        <v>518</v>
      </c>
      <c r="J19" s="16">
        <f t="shared" si="2"/>
        <v>1</v>
      </c>
      <c r="K19" s="17">
        <f t="shared" si="3"/>
        <v>2.238109727630107</v>
      </c>
      <c r="L19" s="18">
        <f t="shared" si="4"/>
        <v>8.6704655026225077E-118</v>
      </c>
      <c r="M19" s="18">
        <f t="shared" si="5"/>
        <v>7.3259999999999998E-6</v>
      </c>
      <c r="N19" s="18">
        <f t="shared" si="6"/>
        <v>7.3259999999999998E-6</v>
      </c>
      <c r="O19" s="19">
        <f t="shared" si="7"/>
        <v>2.0848486499907856E-8</v>
      </c>
      <c r="P19" s="74">
        <f>O19*B19*B19*0.0000000016021773</f>
        <v>3.4464259940857756E-16</v>
      </c>
    </row>
    <row r="20" spans="2:16">
      <c r="B20" s="15">
        <v>4.0151515199999999</v>
      </c>
      <c r="C20" s="16">
        <v>626.21703300000001</v>
      </c>
      <c r="D20" s="16">
        <v>914</v>
      </c>
      <c r="E20" s="120">
        <v>1236</v>
      </c>
      <c r="F20" s="16">
        <f>EXP(-$C$5*$C$6*E20)</f>
        <v>0</v>
      </c>
      <c r="G20" s="16">
        <f>EXP(-1*D20*$C$5*$C$7)</f>
        <v>8.1027315287411692E-67</v>
      </c>
      <c r="H20" s="20">
        <v>448</v>
      </c>
      <c r="I20" s="120">
        <v>788.2</v>
      </c>
      <c r="J20" s="16">
        <f>1-EXP(-H20*$I$4*$I$6)*EXP(-I20*$I$5*$I$7)</f>
        <v>1</v>
      </c>
      <c r="K20" s="17">
        <f t="shared" ref="K20:K80" si="8">MIN(167*POWER(B20,-2.38),11.6*POWER(B20,-1.41))</f>
        <v>1.6339480912402295</v>
      </c>
      <c r="L20" s="18">
        <f t="shared" ref="L20:L48" si="9">K20*$N$10*J20*(G20*($D$10-$D$8)+MAX(G20*F20*($D$9-$D$10),0)+F20*$D$11+$D$12)</f>
        <v>3.2634688687787233E-71</v>
      </c>
      <c r="M20" s="18">
        <f t="shared" ref="M20:M39" si="10">0.0000198*$K$120</f>
        <v>7.3259999999999998E-6</v>
      </c>
      <c r="N20" s="18">
        <f t="shared" ref="N20:N80" si="11">L20+M20</f>
        <v>7.3259999999999998E-6</v>
      </c>
      <c r="O20" s="19">
        <f t="shared" ref="O20:O80" si="12">100*$O$5*SQRT(N20)/(C20*J20*SQRT(($O$4*B20)*$O$6))/$L$5</f>
        <v>1.8303066589175207E-8</v>
      </c>
      <c r="P20" s="74">
        <f>O20*B20*B20*0.0000000016021773</f>
        <v>4.7275737423098634E-16</v>
      </c>
    </row>
    <row r="21" spans="2:16">
      <c r="B21" s="15">
        <v>4.8181818200000004</v>
      </c>
      <c r="C21" s="16">
        <v>632.63735899999995</v>
      </c>
      <c r="D21" s="16">
        <v>584</v>
      </c>
      <c r="E21" s="120">
        <v>797.9</v>
      </c>
      <c r="F21" s="16">
        <f t="shared" ref="F21:F84" si="13">EXP(-$C$5*$C$6*E21)</f>
        <v>0</v>
      </c>
      <c r="G21" s="16">
        <f t="shared" ref="G21:G47" si="14">EXP(-1*D21*$C$5*$C$7)</f>
        <v>5.9012193481940654E-43</v>
      </c>
      <c r="H21" s="20">
        <v>272</v>
      </c>
      <c r="I21" s="120">
        <v>843.2</v>
      </c>
      <c r="J21" s="16">
        <f t="shared" ref="J21:J84" si="15">1-EXP(-H21*$I$4*$I$6)*EXP(-I21*$I$5*$I$7)</f>
        <v>1</v>
      </c>
      <c r="K21" s="17">
        <f t="shared" si="8"/>
        <v>1.263550776374091</v>
      </c>
      <c r="L21" s="18">
        <f t="shared" si="9"/>
        <v>1.8379945781565588E-47</v>
      </c>
      <c r="M21" s="18">
        <f t="shared" si="10"/>
        <v>7.3259999999999998E-6</v>
      </c>
      <c r="N21" s="18">
        <f t="shared" si="11"/>
        <v>7.3259999999999998E-6</v>
      </c>
      <c r="O21" s="19">
        <f t="shared" si="12"/>
        <v>1.6538772696554914E-8</v>
      </c>
      <c r="P21" s="74">
        <f t="shared" ref="P21:P84" si="16">O21*B21*B21*0.0000000016021773</f>
        <v>6.1514885775056683E-16</v>
      </c>
    </row>
    <row r="22" spans="2:16">
      <c r="B22" s="15">
        <v>5.62121212</v>
      </c>
      <c r="C22" s="16">
        <v>637.38140099999998</v>
      </c>
      <c r="D22" s="16">
        <v>398</v>
      </c>
      <c r="E22" s="120">
        <v>548.4</v>
      </c>
      <c r="F22" s="16">
        <f t="shared" si="13"/>
        <v>0</v>
      </c>
      <c r="G22" s="16">
        <f t="shared" si="14"/>
        <v>1.6619102550780653E-29</v>
      </c>
      <c r="H22" s="20">
        <v>177</v>
      </c>
      <c r="I22" s="120">
        <v>619.6</v>
      </c>
      <c r="J22" s="16">
        <f t="shared" si="15"/>
        <v>1</v>
      </c>
      <c r="K22" s="17">
        <f t="shared" si="8"/>
        <v>1.0167114766741743</v>
      </c>
      <c r="L22" s="18">
        <f t="shared" si="9"/>
        <v>4.1650005489762268E-34</v>
      </c>
      <c r="M22" s="18">
        <f t="shared" si="10"/>
        <v>7.3259999999999998E-6</v>
      </c>
      <c r="N22" s="18">
        <f t="shared" si="11"/>
        <v>7.3259999999999998E-6</v>
      </c>
      <c r="O22" s="19">
        <f t="shared" si="12"/>
        <v>1.5197961217182459E-8</v>
      </c>
      <c r="P22" s="74">
        <f t="shared" si="16"/>
        <v>7.6940650568882807E-16</v>
      </c>
    </row>
    <row r="23" spans="2:16">
      <c r="B23" s="15">
        <v>6.4242424199999997</v>
      </c>
      <c r="C23" s="16">
        <v>640.97598800000003</v>
      </c>
      <c r="D23" s="16">
        <v>285</v>
      </c>
      <c r="E23" s="120">
        <v>394.8</v>
      </c>
      <c r="F23" s="16">
        <f t="shared" si="13"/>
        <v>0</v>
      </c>
      <c r="G23" s="16">
        <f t="shared" si="14"/>
        <v>2.4640022353508948E-21</v>
      </c>
      <c r="H23" s="20">
        <v>121</v>
      </c>
      <c r="I23" s="120">
        <v>438.9</v>
      </c>
      <c r="J23" s="16">
        <f t="shared" si="15"/>
        <v>1</v>
      </c>
      <c r="K23" s="17">
        <f t="shared" si="8"/>
        <v>0.8422268469660722</v>
      </c>
      <c r="L23" s="18">
        <f t="shared" si="9"/>
        <v>5.1154041065701383E-26</v>
      </c>
      <c r="M23" s="18">
        <f t="shared" si="10"/>
        <v>7.3259999999999998E-6</v>
      </c>
      <c r="N23" s="18">
        <f t="shared" si="11"/>
        <v>7.3259999999999998E-6</v>
      </c>
      <c r="O23" s="19">
        <f t="shared" si="12"/>
        <v>1.4136665586298802E-8</v>
      </c>
      <c r="P23" s="74">
        <f t="shared" si="16"/>
        <v>9.3476275597335765E-16</v>
      </c>
    </row>
    <row r="24" spans="2:16">
      <c r="B24" s="15">
        <v>7.2272727300000001</v>
      </c>
      <c r="C24" s="16">
        <v>643.87140999999997</v>
      </c>
      <c r="D24" s="16">
        <v>212</v>
      </c>
      <c r="E24" s="120">
        <v>293.89999999999998</v>
      </c>
      <c r="F24" s="16">
        <f t="shared" si="13"/>
        <v>5.3096226003665655E-277</v>
      </c>
      <c r="G24" s="16">
        <f t="shared" si="14"/>
        <v>4.6802966183232814E-16</v>
      </c>
      <c r="H24" s="20">
        <v>86.6</v>
      </c>
      <c r="I24" s="120">
        <v>321</v>
      </c>
      <c r="J24" s="16">
        <f t="shared" si="15"/>
        <v>1</v>
      </c>
      <c r="K24" s="17">
        <f t="shared" si="8"/>
        <v>0.71335223072473541</v>
      </c>
      <c r="L24" s="18">
        <f t="shared" si="9"/>
        <v>8.2297600093090371E-21</v>
      </c>
      <c r="M24" s="18">
        <f t="shared" si="10"/>
        <v>7.3259999999999998E-6</v>
      </c>
      <c r="N24" s="18">
        <f t="shared" si="11"/>
        <v>7.3260000000000083E-6</v>
      </c>
      <c r="O24" s="19">
        <f t="shared" si="12"/>
        <v>1.3268240719662756E-8</v>
      </c>
      <c r="P24" s="74">
        <f t="shared" si="16"/>
        <v>1.1103829990184576E-15</v>
      </c>
    </row>
    <row r="25" spans="2:16">
      <c r="B25" s="15">
        <v>8.0303030300000007</v>
      </c>
      <c r="C25" s="16">
        <v>646.354918</v>
      </c>
      <c r="D25" s="16">
        <v>162</v>
      </c>
      <c r="E25" s="120">
        <v>226.5</v>
      </c>
      <c r="F25" s="16">
        <f t="shared" si="13"/>
        <v>1.2109132266767456E-213</v>
      </c>
      <c r="G25" s="16">
        <f t="shared" si="14"/>
        <v>1.9309673904784216E-12</v>
      </c>
      <c r="H25" s="20">
        <v>64</v>
      </c>
      <c r="I25" s="120">
        <v>243.5</v>
      </c>
      <c r="J25" s="16">
        <f t="shared" si="15"/>
        <v>1</v>
      </c>
      <c r="K25" s="17">
        <f t="shared" si="8"/>
        <v>0.61487376352409473</v>
      </c>
      <c r="L25" s="18">
        <f t="shared" si="9"/>
        <v>2.9266492130845214E-17</v>
      </c>
      <c r="M25" s="18">
        <f t="shared" si="10"/>
        <v>7.3259999999999998E-6</v>
      </c>
      <c r="N25" s="18">
        <f t="shared" si="11"/>
        <v>7.3260000000292665E-6</v>
      </c>
      <c r="O25" s="19">
        <f t="shared" si="12"/>
        <v>1.2538993600590356E-8</v>
      </c>
      <c r="P25" s="74">
        <f t="shared" si="16"/>
        <v>1.2954991222850683E-15</v>
      </c>
    </row>
    <row r="26" spans="2:16">
      <c r="B26" s="15">
        <v>8.8333333300000003</v>
      </c>
      <c r="C26" s="16">
        <v>648.13859200000002</v>
      </c>
      <c r="D26" s="16">
        <v>127</v>
      </c>
      <c r="E26" s="120">
        <v>178.4</v>
      </c>
      <c r="F26" s="16">
        <f t="shared" si="13"/>
        <v>1.9887287648968216E-168</v>
      </c>
      <c r="G26" s="16">
        <f t="shared" si="14"/>
        <v>6.5558050868474759E-10</v>
      </c>
      <c r="H26" s="20">
        <v>48.6</v>
      </c>
      <c r="I26" s="120">
        <v>188.9</v>
      </c>
      <c r="J26" s="16">
        <f t="shared" si="15"/>
        <v>1</v>
      </c>
      <c r="K26" s="17">
        <f t="shared" si="8"/>
        <v>0.53755422096580041</v>
      </c>
      <c r="L26" s="18">
        <f t="shared" si="9"/>
        <v>8.686765115482281E-15</v>
      </c>
      <c r="M26" s="18">
        <f t="shared" si="10"/>
        <v>7.3259999999999998E-6</v>
      </c>
      <c r="N26" s="18">
        <f t="shared" si="11"/>
        <v>7.3260000086867648E-6</v>
      </c>
      <c r="O26" s="19">
        <f t="shared" si="12"/>
        <v>1.1922559947322373E-8</v>
      </c>
      <c r="P26" s="74">
        <f t="shared" si="16"/>
        <v>1.4904908941395148E-15</v>
      </c>
    </row>
    <row r="27" spans="2:16">
      <c r="B27" s="15">
        <v>9.6363636400000008</v>
      </c>
      <c r="C27" s="16">
        <v>649.53344700000002</v>
      </c>
      <c r="D27" s="16">
        <v>102</v>
      </c>
      <c r="E27" s="120">
        <v>143.19999999999999</v>
      </c>
      <c r="F27" s="16">
        <f t="shared" si="13"/>
        <v>2.4414388404014943E-135</v>
      </c>
      <c r="G27" s="16">
        <f t="shared" si="14"/>
        <v>4.2109182853801583E-8</v>
      </c>
      <c r="H27" s="20">
        <v>37.700000000000003</v>
      </c>
      <c r="I27" s="120">
        <v>149.4</v>
      </c>
      <c r="J27" s="16">
        <f t="shared" si="15"/>
        <v>1</v>
      </c>
      <c r="K27" s="17">
        <f t="shared" si="8"/>
        <v>0.47548892408145704</v>
      </c>
      <c r="L27" s="18">
        <f t="shared" si="9"/>
        <v>4.9354526332755053E-13</v>
      </c>
      <c r="M27" s="18">
        <f t="shared" si="10"/>
        <v>7.3259999999999998E-6</v>
      </c>
      <c r="N27" s="18">
        <f t="shared" si="11"/>
        <v>7.3260004935452629E-6</v>
      </c>
      <c r="O27" s="19">
        <f t="shared" si="12"/>
        <v>1.139046910370958E-8</v>
      </c>
      <c r="P27" s="74">
        <f t="shared" si="16"/>
        <v>1.6946442609613032E-15</v>
      </c>
    </row>
    <row r="28" spans="2:16">
      <c r="B28" s="15">
        <v>10.439393900000001</v>
      </c>
      <c r="C28" s="16">
        <v>650.69996000000003</v>
      </c>
      <c r="D28" s="16">
        <v>212</v>
      </c>
      <c r="E28" s="120">
        <v>117.2</v>
      </c>
      <c r="F28" s="16">
        <f t="shared" si="13"/>
        <v>6.7365324708524656E-111</v>
      </c>
      <c r="G28" s="16">
        <f t="shared" si="14"/>
        <v>4.6802966183232814E-16</v>
      </c>
      <c r="H28" s="20">
        <v>29.9</v>
      </c>
      <c r="I28" s="120">
        <v>120.4</v>
      </c>
      <c r="J28" s="16">
        <f t="shared" si="15"/>
        <v>1</v>
      </c>
      <c r="K28" s="17">
        <f t="shared" si="8"/>
        <v>0.42474261620643011</v>
      </c>
      <c r="L28" s="18">
        <f t="shared" si="9"/>
        <v>4.9001456034610924E-21</v>
      </c>
      <c r="M28" s="18">
        <f t="shared" si="10"/>
        <v>7.3259999999999998E-6</v>
      </c>
      <c r="N28" s="18">
        <f t="shared" si="11"/>
        <v>7.3260000000000049E-6</v>
      </c>
      <c r="O28" s="19">
        <f t="shared" si="12"/>
        <v>1.0923989725125491E-8</v>
      </c>
      <c r="P28" s="74">
        <f t="shared" si="16"/>
        <v>1.9074028477407861E-15</v>
      </c>
    </row>
    <row r="29" spans="2:16">
      <c r="B29" s="15">
        <v>11.2424242</v>
      </c>
      <c r="C29" s="16">
        <v>649.693758</v>
      </c>
      <c r="D29" s="16">
        <v>239</v>
      </c>
      <c r="E29" s="120">
        <v>97.24</v>
      </c>
      <c r="F29" s="16">
        <f t="shared" si="13"/>
        <v>3.9034022922226493E-92</v>
      </c>
      <c r="G29" s="16">
        <f t="shared" si="14"/>
        <v>5.2227896449792647E-18</v>
      </c>
      <c r="H29" s="20">
        <v>24.1</v>
      </c>
      <c r="I29" s="120">
        <v>98.47</v>
      </c>
      <c r="J29" s="16">
        <f t="shared" si="15"/>
        <v>1</v>
      </c>
      <c r="K29" s="17">
        <f t="shared" si="8"/>
        <v>0.38260041274922191</v>
      </c>
      <c r="L29" s="18">
        <f t="shared" si="9"/>
        <v>4.9255840918332928E-23</v>
      </c>
      <c r="M29" s="18">
        <f t="shared" si="10"/>
        <v>7.3259999999999998E-6</v>
      </c>
      <c r="N29" s="18">
        <f t="shared" si="11"/>
        <v>7.3259999999999998E-6</v>
      </c>
      <c r="O29" s="19">
        <f t="shared" si="12"/>
        <v>1.0542922815620592E-8</v>
      </c>
      <c r="P29" s="74">
        <f t="shared" si="16"/>
        <v>2.1349688236919364E-15</v>
      </c>
    </row>
    <row r="30" spans="2:16">
      <c r="B30" s="15">
        <v>12.0454545</v>
      </c>
      <c r="C30" s="16">
        <v>601.96446900000001</v>
      </c>
      <c r="D30" s="16">
        <v>233</v>
      </c>
      <c r="E30" s="120">
        <v>81.61</v>
      </c>
      <c r="F30" s="16">
        <f t="shared" si="13"/>
        <v>1.9236167933324664E-77</v>
      </c>
      <c r="G30" s="16">
        <f t="shared" si="14"/>
        <v>1.418282426776684E-17</v>
      </c>
      <c r="H30" s="20">
        <v>19.7</v>
      </c>
      <c r="I30" s="120">
        <v>81.45</v>
      </c>
      <c r="J30" s="16">
        <f t="shared" si="15"/>
        <v>1</v>
      </c>
      <c r="K30" s="17">
        <f t="shared" si="8"/>
        <v>0.34713410915955689</v>
      </c>
      <c r="L30" s="18">
        <f t="shared" si="9"/>
        <v>1.2135838277659823E-22</v>
      </c>
      <c r="M30" s="18">
        <f t="shared" si="10"/>
        <v>7.3259999999999998E-6</v>
      </c>
      <c r="N30" s="18">
        <f t="shared" si="11"/>
        <v>7.3259999999999998E-6</v>
      </c>
      <c r="O30" s="19">
        <f t="shared" si="12"/>
        <v>1.0993025917922087E-8</v>
      </c>
      <c r="P30" s="74">
        <f t="shared" si="16"/>
        <v>2.5554901369361151E-15</v>
      </c>
    </row>
    <row r="31" spans="2:16">
      <c r="B31" s="15">
        <v>12.8484848</v>
      </c>
      <c r="C31" s="16">
        <v>589.99731199999997</v>
      </c>
      <c r="D31" s="16">
        <v>198</v>
      </c>
      <c r="E31" s="120">
        <v>69.45</v>
      </c>
      <c r="F31" s="16">
        <f t="shared" si="13"/>
        <v>5.1866661870290934E-66</v>
      </c>
      <c r="G31" s="16">
        <f t="shared" si="14"/>
        <v>4.8151942875354692E-15</v>
      </c>
      <c r="H31" s="20">
        <v>16.3</v>
      </c>
      <c r="I31" s="120">
        <v>68.349999999999994</v>
      </c>
      <c r="J31" s="16">
        <f t="shared" si="15"/>
        <v>1</v>
      </c>
      <c r="K31" s="17">
        <f t="shared" si="8"/>
        <v>0.31693980688573592</v>
      </c>
      <c r="L31" s="18">
        <f t="shared" si="9"/>
        <v>3.7618404624439326E-20</v>
      </c>
      <c r="M31" s="18">
        <f t="shared" si="10"/>
        <v>7.3259999999999998E-6</v>
      </c>
      <c r="N31" s="18">
        <f t="shared" si="11"/>
        <v>7.3260000000000371E-6</v>
      </c>
      <c r="O31" s="19">
        <f t="shared" si="12"/>
        <v>1.0859847203150728E-8</v>
      </c>
      <c r="P31" s="74">
        <f t="shared" si="16"/>
        <v>2.8723550333393189E-15</v>
      </c>
    </row>
    <row r="32" spans="2:16">
      <c r="B32" s="15">
        <v>13.6515152</v>
      </c>
      <c r="C32" s="16">
        <v>567.09380699999997</v>
      </c>
      <c r="D32" s="16">
        <v>170</v>
      </c>
      <c r="E32" s="120">
        <v>143.4</v>
      </c>
      <c r="F32" s="16">
        <f t="shared" si="13"/>
        <v>1.5835791250374076E-135</v>
      </c>
      <c r="G32" s="16">
        <f t="shared" si="14"/>
        <v>5.0967659387216137E-13</v>
      </c>
      <c r="H32" s="20">
        <v>13.6</v>
      </c>
      <c r="I32" s="120">
        <v>57.98</v>
      </c>
      <c r="J32" s="16">
        <f t="shared" si="15"/>
        <v>1</v>
      </c>
      <c r="K32" s="17">
        <f t="shared" si="8"/>
        <v>0.29097319371665109</v>
      </c>
      <c r="L32" s="18">
        <f t="shared" si="9"/>
        <v>3.6555896577449705E-18</v>
      </c>
      <c r="M32" s="18">
        <f t="shared" si="10"/>
        <v>7.3259999999999998E-6</v>
      </c>
      <c r="N32" s="18">
        <f t="shared" si="11"/>
        <v>7.3260000000036556E-6</v>
      </c>
      <c r="O32" s="19">
        <f t="shared" si="12"/>
        <v>1.0961105866021054E-8</v>
      </c>
      <c r="P32" s="74">
        <f t="shared" si="16"/>
        <v>3.2728542142029329E-15</v>
      </c>
    </row>
    <row r="33" spans="2:17">
      <c r="B33" s="15">
        <v>14.4545455</v>
      </c>
      <c r="C33" s="16">
        <v>551.81618100000003</v>
      </c>
      <c r="D33" s="16">
        <v>147</v>
      </c>
      <c r="E33" s="120">
        <v>123.2</v>
      </c>
      <c r="F33" s="16">
        <f t="shared" si="13"/>
        <v>1.5426022873559061E-116</v>
      </c>
      <c r="G33" s="16">
        <f t="shared" si="14"/>
        <v>2.3465262027660118E-11</v>
      </c>
      <c r="H33" s="20">
        <v>11.5</v>
      </c>
      <c r="I33" s="120">
        <v>49.64</v>
      </c>
      <c r="J33" s="16">
        <f t="shared" si="15"/>
        <v>1</v>
      </c>
      <c r="K33" s="17">
        <f t="shared" si="8"/>
        <v>0.26844278021677609</v>
      </c>
      <c r="L33" s="18">
        <f t="shared" si="9"/>
        <v>1.5526976854297193E-16</v>
      </c>
      <c r="M33" s="18">
        <f t="shared" si="10"/>
        <v>7.3259999999999998E-6</v>
      </c>
      <c r="N33" s="18">
        <f t="shared" si="11"/>
        <v>7.3260000001552694E-6</v>
      </c>
      <c r="O33" s="19">
        <f t="shared" si="12"/>
        <v>1.09472000351512E-8</v>
      </c>
      <c r="P33" s="74">
        <f t="shared" si="16"/>
        <v>3.6645656737742122E-15</v>
      </c>
    </row>
    <row r="34" spans="2:17">
      <c r="B34" s="15">
        <v>15.2575758</v>
      </c>
      <c r="C34" s="16">
        <v>558.26936999999998</v>
      </c>
      <c r="D34" s="16">
        <v>128</v>
      </c>
      <c r="E34" s="120">
        <v>147.1</v>
      </c>
      <c r="F34" s="16">
        <f t="shared" si="13"/>
        <v>5.2665627816777202E-139</v>
      </c>
      <c r="G34" s="16">
        <f t="shared" si="14"/>
        <v>5.5502941699064993E-10</v>
      </c>
      <c r="H34" s="20">
        <v>9.83</v>
      </c>
      <c r="I34" s="120">
        <v>42.75</v>
      </c>
      <c r="J34" s="16">
        <f t="shared" si="15"/>
        <v>1</v>
      </c>
      <c r="K34" s="17">
        <f t="shared" si="8"/>
        <v>0.24873871314007173</v>
      </c>
      <c r="L34" s="18">
        <f t="shared" si="9"/>
        <v>3.4030564573915596E-15</v>
      </c>
      <c r="M34" s="18">
        <f t="shared" si="10"/>
        <v>7.3259999999999998E-6</v>
      </c>
      <c r="N34" s="18">
        <f t="shared" si="11"/>
        <v>7.3260000034030563E-6</v>
      </c>
      <c r="O34" s="19">
        <f t="shared" si="12"/>
        <v>1.0532055447923631E-8</v>
      </c>
      <c r="P34" s="74">
        <f t="shared" si="16"/>
        <v>3.9282107840228718E-15</v>
      </c>
    </row>
    <row r="35" spans="2:17">
      <c r="B35" s="15">
        <v>16.060606100000001</v>
      </c>
      <c r="C35" s="16">
        <v>562.23415599999998</v>
      </c>
      <c r="D35" s="16">
        <v>112</v>
      </c>
      <c r="E35" s="120">
        <v>150</v>
      </c>
      <c r="F35" s="16">
        <f t="shared" si="13"/>
        <v>9.8955306444876057E-142</v>
      </c>
      <c r="G35" s="16">
        <f t="shared" si="14"/>
        <v>7.9666640111943509E-9</v>
      </c>
      <c r="H35" s="20">
        <v>8.4600000000000009</v>
      </c>
      <c r="I35" s="120">
        <v>37.11</v>
      </c>
      <c r="J35" s="16">
        <f t="shared" si="15"/>
        <v>1</v>
      </c>
      <c r="K35" s="17">
        <f t="shared" si="8"/>
        <v>0.22542551777601527</v>
      </c>
      <c r="L35" s="18">
        <f t="shared" si="9"/>
        <v>4.4267943471067591E-14</v>
      </c>
      <c r="M35" s="18">
        <f t="shared" si="10"/>
        <v>7.3259999999999998E-6</v>
      </c>
      <c r="N35" s="18">
        <f t="shared" si="11"/>
        <v>7.3260000442679432E-6</v>
      </c>
      <c r="O35" s="19">
        <f t="shared" si="12"/>
        <v>1.0192988063293063E-8</v>
      </c>
      <c r="P35" s="74">
        <f t="shared" si="16"/>
        <v>4.2124615661698763E-15</v>
      </c>
    </row>
    <row r="36" spans="2:17">
      <c r="B36" s="15">
        <v>16.863636400000001</v>
      </c>
      <c r="C36" s="16">
        <v>564.81262800000002</v>
      </c>
      <c r="D36" s="16">
        <v>98.7</v>
      </c>
      <c r="E36" s="120">
        <v>132.69999999999999</v>
      </c>
      <c r="F36" s="16">
        <f t="shared" si="13"/>
        <v>1.8111945939908985E-125</v>
      </c>
      <c r="G36" s="16">
        <f t="shared" si="14"/>
        <v>7.2945737070826892E-8</v>
      </c>
      <c r="H36" s="20">
        <v>7.33</v>
      </c>
      <c r="I36" s="120">
        <v>32.44</v>
      </c>
      <c r="J36" s="16">
        <f t="shared" si="15"/>
        <v>1</v>
      </c>
      <c r="K36" s="17">
        <f t="shared" si="8"/>
        <v>0.20071163299976402</v>
      </c>
      <c r="L36" s="18">
        <f t="shared" si="9"/>
        <v>3.6089613469682889E-13</v>
      </c>
      <c r="M36" s="18">
        <f t="shared" si="10"/>
        <v>7.3259999999999998E-6</v>
      </c>
      <c r="N36" s="18">
        <f t="shared" si="11"/>
        <v>7.3260003608961349E-6</v>
      </c>
      <c r="O36" s="19">
        <f t="shared" si="12"/>
        <v>9.901926610328291E-9</v>
      </c>
      <c r="P36" s="74">
        <f t="shared" si="16"/>
        <v>4.5116223236125941E-15</v>
      </c>
    </row>
    <row r="37" spans="2:17">
      <c r="B37" s="15">
        <v>17.6666667</v>
      </c>
      <c r="C37" s="16">
        <v>567.42400599999996</v>
      </c>
      <c r="D37" s="16">
        <v>87.5</v>
      </c>
      <c r="E37" s="120">
        <v>117.9</v>
      </c>
      <c r="F37" s="16">
        <f t="shared" si="13"/>
        <v>1.4805228794974397E-111</v>
      </c>
      <c r="G37" s="16">
        <f t="shared" si="14"/>
        <v>4.7083882450332786E-7</v>
      </c>
      <c r="H37" s="20">
        <v>6.4</v>
      </c>
      <c r="I37" s="120">
        <v>28.49</v>
      </c>
      <c r="J37" s="16">
        <f t="shared" si="15"/>
        <v>0.99999999999999967</v>
      </c>
      <c r="K37" s="17">
        <f t="shared" si="8"/>
        <v>0.17967534431689963</v>
      </c>
      <c r="L37" s="18">
        <f t="shared" si="9"/>
        <v>2.0853095007933654E-12</v>
      </c>
      <c r="M37" s="18">
        <f t="shared" si="10"/>
        <v>7.3259999999999998E-6</v>
      </c>
      <c r="N37" s="18">
        <f t="shared" si="11"/>
        <v>7.3260020853095004E-6</v>
      </c>
      <c r="O37" s="19">
        <f t="shared" si="12"/>
        <v>9.6297442646753218E-9</v>
      </c>
      <c r="P37" s="74">
        <f t="shared" si="16"/>
        <v>4.8154242940449005E-15</v>
      </c>
    </row>
    <row r="38" spans="2:17">
      <c r="B38" s="15">
        <v>18.469697</v>
      </c>
      <c r="C38" s="16">
        <v>570.01359500000001</v>
      </c>
      <c r="D38" s="16">
        <v>77.900000000000006</v>
      </c>
      <c r="E38" s="120">
        <v>105.5</v>
      </c>
      <c r="F38" s="16">
        <f t="shared" si="13"/>
        <v>6.7110760241718739E-100</v>
      </c>
      <c r="G38" s="16">
        <f t="shared" si="14"/>
        <v>2.3283516199569265E-6</v>
      </c>
      <c r="H38" s="20">
        <v>5.62</v>
      </c>
      <c r="I38" s="120">
        <v>25.2</v>
      </c>
      <c r="J38" s="16">
        <f t="shared" si="15"/>
        <v>0.99999999999997913</v>
      </c>
      <c r="K38" s="17">
        <f t="shared" si="8"/>
        <v>0.16163753422343866</v>
      </c>
      <c r="L38" s="18">
        <f t="shared" si="9"/>
        <v>9.276850389709064E-12</v>
      </c>
      <c r="M38" s="18">
        <f t="shared" si="10"/>
        <v>7.3259999999999998E-6</v>
      </c>
      <c r="N38" s="18">
        <f t="shared" si="11"/>
        <v>7.3260092768503898E-6</v>
      </c>
      <c r="O38" s="19">
        <f t="shared" si="12"/>
        <v>9.3752936857390213E-9</v>
      </c>
      <c r="P38" s="74">
        <f t="shared" si="16"/>
        <v>5.1240693266447266E-15</v>
      </c>
    </row>
    <row r="39" spans="2:17">
      <c r="B39" s="15">
        <v>19.2727273</v>
      </c>
      <c r="C39" s="16">
        <v>571.47120399999994</v>
      </c>
      <c r="D39" s="16">
        <v>69.7</v>
      </c>
      <c r="E39" s="120">
        <v>94.84</v>
      </c>
      <c r="F39" s="16">
        <f t="shared" si="13"/>
        <v>7.039086262334026E-90</v>
      </c>
      <c r="G39" s="16">
        <f t="shared" si="14"/>
        <v>9.1199156757575201E-6</v>
      </c>
      <c r="H39" s="20">
        <v>4.97</v>
      </c>
      <c r="I39" s="120">
        <v>22.41</v>
      </c>
      <c r="J39" s="16">
        <f t="shared" si="15"/>
        <v>0.99999999999931688</v>
      </c>
      <c r="K39" s="17">
        <f t="shared" si="8"/>
        <v>0.14606686605926072</v>
      </c>
      <c r="L39" s="18">
        <f t="shared" si="9"/>
        <v>3.2836155487448517E-11</v>
      </c>
      <c r="M39" s="18">
        <f t="shared" si="10"/>
        <v>7.3259999999999998E-6</v>
      </c>
      <c r="N39" s="18">
        <f t="shared" si="11"/>
        <v>7.3260328361554872E-6</v>
      </c>
      <c r="O39" s="19">
        <f t="shared" si="12"/>
        <v>9.1545023175109355E-9</v>
      </c>
      <c r="P39" s="74">
        <f t="shared" si="16"/>
        <v>5.4479318473275379E-15</v>
      </c>
    </row>
    <row r="40" spans="2:17">
      <c r="B40" s="15">
        <v>20.075757599999999</v>
      </c>
      <c r="C40" s="16">
        <v>573.336321</v>
      </c>
      <c r="D40" s="16">
        <v>62.7</v>
      </c>
      <c r="E40" s="120">
        <v>85.48</v>
      </c>
      <c r="F40" s="16">
        <f t="shared" si="13"/>
        <v>4.427931444779301E-81</v>
      </c>
      <c r="G40" s="16">
        <f t="shared" si="14"/>
        <v>2.9252368886297475E-5</v>
      </c>
      <c r="H40" s="20">
        <v>4.41</v>
      </c>
      <c r="I40" s="120">
        <v>20</v>
      </c>
      <c r="J40" s="16">
        <f t="shared" si="15"/>
        <v>0.99999999998609046</v>
      </c>
      <c r="K40" s="17">
        <f t="shared" si="8"/>
        <v>0.1325431373182257</v>
      </c>
      <c r="L40" s="18">
        <f t="shared" si="9"/>
        <v>9.5571424002938683E-11</v>
      </c>
      <c r="M40" s="18">
        <f t="shared" ref="M40:M58" si="17">$K$120*0.0000066*(B40/10)^1.58</f>
        <v>7.3445861601485905E-6</v>
      </c>
      <c r="N40" s="18">
        <f t="shared" si="11"/>
        <v>7.3446817315725935E-6</v>
      </c>
      <c r="O40" s="19">
        <f t="shared" si="12"/>
        <v>8.9517369512511018E-9</v>
      </c>
      <c r="P40" s="74">
        <f t="shared" si="16"/>
        <v>5.7804516462597225E-15</v>
      </c>
      <c r="Q40" s="51"/>
    </row>
    <row r="41" spans="2:17">
      <c r="B41" s="15">
        <v>20.878787899999999</v>
      </c>
      <c r="C41" s="16">
        <v>574.62761699999999</v>
      </c>
      <c r="D41" s="16">
        <v>56.6</v>
      </c>
      <c r="E41" s="120">
        <v>77.25</v>
      </c>
      <c r="F41" s="16">
        <f t="shared" si="13"/>
        <v>2.4135212689344187E-73</v>
      </c>
      <c r="G41" s="16">
        <f t="shared" si="14"/>
        <v>8.0770399692147246E-5</v>
      </c>
      <c r="H41" s="20">
        <v>3.94</v>
      </c>
      <c r="I41" s="120">
        <v>17.93</v>
      </c>
      <c r="J41" s="16">
        <f t="shared" si="15"/>
        <v>0.99999999981496945</v>
      </c>
      <c r="K41" s="17">
        <f t="shared" si="8"/>
        <v>0.12073075008747532</v>
      </c>
      <c r="L41" s="18">
        <f t="shared" si="9"/>
        <v>2.4036979890426823E-10</v>
      </c>
      <c r="M41" s="18">
        <f t="shared" si="17"/>
        <v>7.814118733184978E-6</v>
      </c>
      <c r="N41" s="18">
        <f t="shared" si="11"/>
        <v>7.8143591029838823E-6</v>
      </c>
      <c r="O41" s="19">
        <f t="shared" si="12"/>
        <v>9.0338691320595151E-9</v>
      </c>
      <c r="P41" s="74">
        <f t="shared" si="16"/>
        <v>6.3094998465753731E-15</v>
      </c>
    </row>
    <row r="42" spans="2:17">
      <c r="B42" s="15">
        <v>21.681818199999999</v>
      </c>
      <c r="C42" s="16">
        <v>575.81356700000003</v>
      </c>
      <c r="D42" s="16">
        <v>51.2</v>
      </c>
      <c r="E42" s="120">
        <v>70.08</v>
      </c>
      <c r="F42" s="16">
        <f t="shared" si="13"/>
        <v>1.3263835954623204E-66</v>
      </c>
      <c r="G42" s="16">
        <f t="shared" si="14"/>
        <v>1.9848440999289455E-4</v>
      </c>
      <c r="H42" s="20">
        <v>3.54</v>
      </c>
      <c r="I42" s="120">
        <v>16.14</v>
      </c>
      <c r="J42" s="16">
        <f t="shared" si="15"/>
        <v>0.99999999826611274</v>
      </c>
      <c r="K42" s="17">
        <f t="shared" si="8"/>
        <v>0.11035924191024694</v>
      </c>
      <c r="L42" s="18">
        <f t="shared" si="9"/>
        <v>5.3993922370255497E-10</v>
      </c>
      <c r="M42" s="18">
        <f t="shared" si="17"/>
        <v>8.2942450710510573E-6</v>
      </c>
      <c r="N42" s="18">
        <f t="shared" si="11"/>
        <v>8.2947850102747599E-6</v>
      </c>
      <c r="O42" s="19">
        <f t="shared" si="12"/>
        <v>9.1146306281827339E-9</v>
      </c>
      <c r="P42" s="74">
        <f t="shared" si="16"/>
        <v>6.865007956619258E-15</v>
      </c>
      <c r="Q42" s="51"/>
    </row>
    <row r="43" spans="2:17">
      <c r="B43" s="15">
        <v>22.484848499999998</v>
      </c>
      <c r="C43" s="16">
        <v>576.84150399999999</v>
      </c>
      <c r="D43" s="16">
        <v>46.5</v>
      </c>
      <c r="E43" s="120">
        <v>63.8</v>
      </c>
      <c r="F43" s="16">
        <f t="shared" si="13"/>
        <v>1.0618424712304953E-60</v>
      </c>
      <c r="G43" s="16">
        <f t="shared" si="14"/>
        <v>4.3409376448423794E-4</v>
      </c>
      <c r="H43" s="20">
        <v>3.19</v>
      </c>
      <c r="I43" s="120">
        <v>14.59</v>
      </c>
      <c r="J43" s="16">
        <f t="shared" si="15"/>
        <v>0.99999998796142786</v>
      </c>
      <c r="K43" s="17">
        <f t="shared" si="8"/>
        <v>0.10120881799010586</v>
      </c>
      <c r="L43" s="18">
        <f t="shared" si="9"/>
        <v>1.0829581260567391E-9</v>
      </c>
      <c r="M43" s="18">
        <f t="shared" si="17"/>
        <v>8.7847985207159375E-6</v>
      </c>
      <c r="N43" s="18">
        <f t="shared" si="11"/>
        <v>8.7858814788419939E-6</v>
      </c>
      <c r="O43" s="19">
        <f t="shared" si="12"/>
        <v>9.1951208242883582E-9</v>
      </c>
      <c r="P43" s="74">
        <f t="shared" si="16"/>
        <v>7.4481419651362884E-15</v>
      </c>
    </row>
    <row r="44" spans="2:17">
      <c r="B44" s="15">
        <v>23.287878800000001</v>
      </c>
      <c r="C44" s="16">
        <v>577.47561599999995</v>
      </c>
      <c r="D44" s="16">
        <v>42.4</v>
      </c>
      <c r="E44" s="120">
        <v>58.22</v>
      </c>
      <c r="F44" s="16">
        <f t="shared" si="13"/>
        <v>1.8682274893004159E-55</v>
      </c>
      <c r="G44" s="16">
        <f t="shared" si="14"/>
        <v>8.5912167392333566E-4</v>
      </c>
      <c r="H44" s="20">
        <v>2.89</v>
      </c>
      <c r="I44" s="120">
        <v>13.21</v>
      </c>
      <c r="J44" s="16">
        <f t="shared" si="15"/>
        <v>0.99999993245352792</v>
      </c>
      <c r="K44" s="17">
        <f t="shared" si="8"/>
        <v>9.3099475129573367E-2</v>
      </c>
      <c r="L44" s="18">
        <f t="shared" si="9"/>
        <v>1.9715674892957614E-9</v>
      </c>
      <c r="M44" s="18">
        <f t="shared" si="17"/>
        <v>9.2856209752400449E-6</v>
      </c>
      <c r="N44" s="18">
        <f t="shared" si="11"/>
        <v>9.2875925427293412E-6</v>
      </c>
      <c r="O44" s="19">
        <f t="shared" si="12"/>
        <v>9.2793859367645904E-9</v>
      </c>
      <c r="P44" s="74">
        <f t="shared" si="16"/>
        <v>8.0628703484968176E-15</v>
      </c>
    </row>
    <row r="45" spans="2:17">
      <c r="B45" s="15">
        <v>24.090909100000001</v>
      </c>
      <c r="C45" s="16">
        <v>578.06236100000001</v>
      </c>
      <c r="D45" s="16">
        <v>38.799999999999997</v>
      </c>
      <c r="E45" s="120">
        <v>53.35</v>
      </c>
      <c r="F45" s="16">
        <f t="shared" si="13"/>
        <v>7.0693231703095386E-51</v>
      </c>
      <c r="G45" s="16">
        <f t="shared" si="14"/>
        <v>1.5644827825459179E-3</v>
      </c>
      <c r="H45" s="20">
        <v>2.62</v>
      </c>
      <c r="I45" s="120">
        <v>12.03</v>
      </c>
      <c r="J45" s="16">
        <f t="shared" si="15"/>
        <v>0.99999970464859911</v>
      </c>
      <c r="K45" s="17">
        <f t="shared" si="8"/>
        <v>8.5882737975603585E-2</v>
      </c>
      <c r="L45" s="18">
        <f t="shared" si="9"/>
        <v>3.3119693616068047E-9</v>
      </c>
      <c r="M45" s="18">
        <f t="shared" si="17"/>
        <v>9.7965621527421257E-6</v>
      </c>
      <c r="N45" s="18">
        <f t="shared" si="11"/>
        <v>9.7998741221037326E-6</v>
      </c>
      <c r="O45" s="19">
        <f t="shared" si="12"/>
        <v>9.3621444640813837E-9</v>
      </c>
      <c r="P45" s="74">
        <f t="shared" si="16"/>
        <v>8.7054713473012118E-15</v>
      </c>
    </row>
    <row r="46" spans="2:17">
      <c r="B46" s="15">
        <v>24.893939400000001</v>
      </c>
      <c r="C46" s="16">
        <v>578.24953800000003</v>
      </c>
      <c r="D46" s="16">
        <v>35.6</v>
      </c>
      <c r="E46" s="120">
        <v>49.03</v>
      </c>
      <c r="F46" s="16">
        <f t="shared" si="13"/>
        <v>8.1340940558982475E-47</v>
      </c>
      <c r="G46" s="16">
        <f t="shared" si="14"/>
        <v>2.6654030354089503E-3</v>
      </c>
      <c r="H46" s="20">
        <v>2.39</v>
      </c>
      <c r="I46" s="120">
        <v>10.98</v>
      </c>
      <c r="J46" s="16">
        <f t="shared" si="15"/>
        <v>0.99999890280101178</v>
      </c>
      <c r="K46" s="17">
        <f t="shared" si="8"/>
        <v>7.9435317640679765E-2</v>
      </c>
      <c r="L46" s="18">
        <f t="shared" si="9"/>
        <v>5.2189822201925603E-9</v>
      </c>
      <c r="M46" s="18">
        <f t="shared" si="17"/>
        <v>1.0317478958461552E-5</v>
      </c>
      <c r="N46" s="18">
        <f t="shared" si="11"/>
        <v>1.0322697940681744E-5</v>
      </c>
      <c r="O46" s="19">
        <f t="shared" si="12"/>
        <v>9.4493345641815359E-9</v>
      </c>
      <c r="P46" s="74">
        <f t="shared" si="16"/>
        <v>9.3820783666468551E-15</v>
      </c>
    </row>
    <row r="47" spans="2:17">
      <c r="B47" s="15">
        <v>25.6969697</v>
      </c>
      <c r="C47" s="16">
        <v>578.23402899999996</v>
      </c>
      <c r="D47" s="16">
        <v>32.799999999999997</v>
      </c>
      <c r="E47" s="120">
        <v>45.14</v>
      </c>
      <c r="F47" s="16">
        <f t="shared" si="13"/>
        <v>3.6900093751636653E-43</v>
      </c>
      <c r="G47" s="16">
        <f t="shared" si="14"/>
        <v>4.2484545392568315E-3</v>
      </c>
      <c r="H47" s="20">
        <v>2.19</v>
      </c>
      <c r="I47" s="120">
        <v>10.039999999999999</v>
      </c>
      <c r="J47" s="16">
        <f t="shared" si="15"/>
        <v>0.99999644853370884</v>
      </c>
      <c r="K47" s="17">
        <f t="shared" si="8"/>
        <v>7.3654200476134371E-2</v>
      </c>
      <c r="L47" s="18">
        <f t="shared" si="9"/>
        <v>7.7132378185541267E-9</v>
      </c>
      <c r="M47" s="18">
        <f t="shared" si="17"/>
        <v>1.0848234917940239E-5</v>
      </c>
      <c r="N47" s="18">
        <f t="shared" si="11"/>
        <v>1.0855948155758793E-5</v>
      </c>
      <c r="O47" s="19">
        <f t="shared" si="12"/>
        <v>9.5379945168166272E-9</v>
      </c>
      <c r="P47" s="74">
        <f t="shared" si="16"/>
        <v>1.0090936367362571E-14</v>
      </c>
    </row>
    <row r="48" spans="2:17">
      <c r="B48" s="15">
        <v>26.5</v>
      </c>
      <c r="C48" s="16">
        <v>578.01138500000002</v>
      </c>
      <c r="D48" s="16">
        <v>30.2</v>
      </c>
      <c r="E48" s="120">
        <v>41.71</v>
      </c>
      <c r="F48" s="16">
        <f t="shared" si="13"/>
        <v>6.1848869016130377E-40</v>
      </c>
      <c r="G48" s="16">
        <f t="shared" ref="G48:G79" si="18">EXP(-1*D48*$C$5*$C$7)</f>
        <v>6.5499360024567476E-3</v>
      </c>
      <c r="H48" s="20">
        <v>2.0099999999999998</v>
      </c>
      <c r="I48" s="120">
        <v>9.2219999999999995</v>
      </c>
      <c r="J48" s="16">
        <f t="shared" si="15"/>
        <v>0.99999012722905756</v>
      </c>
      <c r="K48" s="17">
        <f t="shared" si="8"/>
        <v>6.8452811651286152E-2</v>
      </c>
      <c r="L48" s="18">
        <f t="shared" si="9"/>
        <v>1.1051820673825467E-8</v>
      </c>
      <c r="M48" s="18">
        <f t="shared" si="17"/>
        <v>1.1388699671398525E-5</v>
      </c>
      <c r="N48" s="18">
        <f t="shared" si="11"/>
        <v>1.139975149207235E-5</v>
      </c>
      <c r="O48" s="19">
        <f t="shared" si="12"/>
        <v>9.6285058423506458E-9</v>
      </c>
      <c r="P48" s="74">
        <f t="shared" si="16"/>
        <v>1.0833311235832552E-14</v>
      </c>
    </row>
    <row r="49" spans="2:16">
      <c r="B49" s="15">
        <v>27.3030303</v>
      </c>
      <c r="C49" s="16">
        <v>577.23529099999996</v>
      </c>
      <c r="D49" s="16">
        <v>28</v>
      </c>
      <c r="E49" s="120">
        <v>38.64</v>
      </c>
      <c r="F49" s="16">
        <f t="shared" si="13"/>
        <v>4.755816716571412E-37</v>
      </c>
      <c r="G49" s="16">
        <f t="shared" si="18"/>
        <v>9.4475483972160743E-3</v>
      </c>
      <c r="H49" s="20">
        <v>1.85</v>
      </c>
      <c r="I49" s="120">
        <v>27.03</v>
      </c>
      <c r="J49" s="16">
        <f t="shared" si="15"/>
        <v>0.99999999999999745</v>
      </c>
      <c r="K49" s="17">
        <f t="shared" si="8"/>
        <v>6.3757994165125995E-2</v>
      </c>
      <c r="L49" s="18">
        <f t="shared" ref="L49:L80" si="19">K49*$N$10*J49*(G49*($D$10-$D$8)+MAX(G49*F49*($D$9-$D$10),0)+F49*$D$11+$D$12)</f>
        <v>1.4847848937171458E-8</v>
      </c>
      <c r="M49" s="18">
        <f t="shared" si="17"/>
        <v>1.1938748521026369E-5</v>
      </c>
      <c r="N49" s="18">
        <f t="shared" si="11"/>
        <v>1.195359636996354E-5</v>
      </c>
      <c r="O49" s="19">
        <f t="shared" si="12"/>
        <v>9.72651455815723E-9</v>
      </c>
      <c r="P49" s="74">
        <f t="shared" si="16"/>
        <v>1.1616880383088752E-14</v>
      </c>
    </row>
    <row r="50" spans="2:16">
      <c r="B50" s="15">
        <v>28.106060599999999</v>
      </c>
      <c r="C50" s="16">
        <v>576.49755600000003</v>
      </c>
      <c r="D50" s="16">
        <v>25.9</v>
      </c>
      <c r="E50" s="120">
        <v>35.840000000000003</v>
      </c>
      <c r="F50" s="16">
        <f t="shared" si="13"/>
        <v>2.0384977954049801E-34</v>
      </c>
      <c r="G50" s="16">
        <f t="shared" si="18"/>
        <v>1.3402017817048232E-2</v>
      </c>
      <c r="H50" s="20">
        <v>1.71</v>
      </c>
      <c r="I50" s="120">
        <v>25.05</v>
      </c>
      <c r="J50" s="16">
        <f t="shared" si="15"/>
        <v>0.99999999999997002</v>
      </c>
      <c r="K50" s="17">
        <f t="shared" si="8"/>
        <v>5.9507612011553038E-2</v>
      </c>
      <c r="L50" s="18">
        <f t="shared" si="19"/>
        <v>1.96585953394956E-8</v>
      </c>
      <c r="M50" s="18">
        <f t="shared" si="17"/>
        <v>1.2498262024244068E-5</v>
      </c>
      <c r="N50" s="18">
        <f t="shared" si="11"/>
        <v>1.2517920619583563E-5</v>
      </c>
      <c r="O50" s="19">
        <f t="shared" si="12"/>
        <v>9.8227905823891038E-9</v>
      </c>
      <c r="P50" s="74">
        <f t="shared" si="16"/>
        <v>1.2432126372260622E-14</v>
      </c>
    </row>
    <row r="51" spans="2:16">
      <c r="B51" s="15">
        <v>28.909090899999999</v>
      </c>
      <c r="C51" s="16">
        <v>574.71680500000002</v>
      </c>
      <c r="D51" s="16">
        <v>24.1</v>
      </c>
      <c r="E51" s="120">
        <v>33.340000000000003</v>
      </c>
      <c r="F51" s="16">
        <f t="shared" si="13"/>
        <v>4.5644269539162541E-32</v>
      </c>
      <c r="G51" s="16">
        <f t="shared" si="18"/>
        <v>1.8085405354102205E-2</v>
      </c>
      <c r="H51" s="20">
        <v>1.59</v>
      </c>
      <c r="I51" s="120">
        <v>23.28</v>
      </c>
      <c r="J51" s="16">
        <f t="shared" si="15"/>
        <v>0.99999999999972955</v>
      </c>
      <c r="K51" s="17">
        <f t="shared" si="8"/>
        <v>5.5648635070772702E-2</v>
      </c>
      <c r="L51" s="18">
        <f t="shared" si="19"/>
        <v>2.4808044549938682E-8</v>
      </c>
      <c r="M51" s="18">
        <f t="shared" si="17"/>
        <v>1.3067125627072622E-5</v>
      </c>
      <c r="N51" s="18">
        <f t="shared" si="11"/>
        <v>1.3091933671622561E-5</v>
      </c>
      <c r="O51" s="19">
        <f t="shared" si="12"/>
        <v>9.9356671216041479E-9</v>
      </c>
      <c r="P51" s="74">
        <f t="shared" si="16"/>
        <v>1.3303823557100932E-14</v>
      </c>
    </row>
    <row r="52" spans="2:16">
      <c r="B52" s="15">
        <v>29.712121199999999</v>
      </c>
      <c r="C52" s="16">
        <v>572.75308800000005</v>
      </c>
      <c r="D52" s="16">
        <v>22.4</v>
      </c>
      <c r="E52" s="120">
        <v>31.08</v>
      </c>
      <c r="F52" s="16">
        <f t="shared" si="13"/>
        <v>6.0793196486357711E-30</v>
      </c>
      <c r="G52" s="16">
        <f t="shared" si="18"/>
        <v>2.4002434890726697E-2</v>
      </c>
      <c r="H52" s="20">
        <v>1.47</v>
      </c>
      <c r="I52" s="120">
        <v>21.68</v>
      </c>
      <c r="J52" s="16">
        <f t="shared" si="15"/>
        <v>0.9999999999980228</v>
      </c>
      <c r="K52" s="17">
        <f t="shared" si="8"/>
        <v>5.2135598711551823E-2</v>
      </c>
      <c r="L52" s="18">
        <f t="shared" si="19"/>
        <v>3.0846041239198836E-8</v>
      </c>
      <c r="M52" s="18">
        <f t="shared" si="17"/>
        <v>1.3645229332644287E-5</v>
      </c>
      <c r="N52" s="18">
        <f t="shared" si="11"/>
        <v>1.3676075373883486E-5</v>
      </c>
      <c r="O52" s="19">
        <f t="shared" si="12"/>
        <v>1.0051079838400256E-8</v>
      </c>
      <c r="P52" s="74">
        <f t="shared" si="16"/>
        <v>1.4216432026668888E-14</v>
      </c>
    </row>
    <row r="53" spans="2:16">
      <c r="B53" s="15">
        <v>30.515151500000002</v>
      </c>
      <c r="C53" s="16">
        <v>571.84065299999997</v>
      </c>
      <c r="D53" s="16">
        <v>20.9</v>
      </c>
      <c r="E53" s="120">
        <v>28.99</v>
      </c>
      <c r="F53" s="16">
        <f t="shared" si="13"/>
        <v>5.6042632560924105E-28</v>
      </c>
      <c r="G53" s="16">
        <f t="shared" si="18"/>
        <v>3.0812032491006711E-2</v>
      </c>
      <c r="H53" s="20">
        <v>1.37</v>
      </c>
      <c r="I53" s="120">
        <v>20.2</v>
      </c>
      <c r="J53" s="16">
        <f t="shared" si="15"/>
        <v>0.9999999999875544</v>
      </c>
      <c r="K53" s="17">
        <f t="shared" si="8"/>
        <v>4.8929357010183826E-2</v>
      </c>
      <c r="L53" s="18">
        <f t="shared" si="19"/>
        <v>3.7162046733959058E-8</v>
      </c>
      <c r="M53" s="18">
        <f t="shared" si="17"/>
        <v>1.423246740061852E-5</v>
      </c>
      <c r="N53" s="18">
        <f>L53+M53</f>
        <v>1.4269629447352478E-5</v>
      </c>
      <c r="O53" s="19">
        <f t="shared" si="12"/>
        <v>1.0147050084506157E-8</v>
      </c>
      <c r="P53" s="74">
        <f t="shared" si="16"/>
        <v>1.5138450990434122E-14</v>
      </c>
    </row>
    <row r="54" spans="2:16">
      <c r="B54" s="15">
        <v>31.318181800000001</v>
      </c>
      <c r="C54" s="16">
        <v>567.78492300000005</v>
      </c>
      <c r="D54" s="16">
        <v>19.5</v>
      </c>
      <c r="E54" s="120">
        <v>27.1</v>
      </c>
      <c r="F54" s="16">
        <f t="shared" si="13"/>
        <v>3.3510120940824643E-26</v>
      </c>
      <c r="G54" s="16">
        <f t="shared" si="18"/>
        <v>3.8900429005481574E-2</v>
      </c>
      <c r="H54" s="20">
        <v>1.28</v>
      </c>
      <c r="I54" s="120">
        <v>18.87</v>
      </c>
      <c r="J54" s="16">
        <f t="shared" si="15"/>
        <v>0.99999999993498478</v>
      </c>
      <c r="K54" s="17">
        <f t="shared" si="8"/>
        <v>4.5996067640593087E-2</v>
      </c>
      <c r="L54" s="18">
        <f t="shared" si="19"/>
        <v>4.4104699168783534E-8</v>
      </c>
      <c r="M54" s="18">
        <f t="shared" si="17"/>
        <v>1.4828738073877548E-5</v>
      </c>
      <c r="N54" s="18">
        <f t="shared" si="11"/>
        <v>1.4872842773046331E-5</v>
      </c>
      <c r="O54" s="19">
        <f t="shared" si="12"/>
        <v>1.0298669357752585E-8</v>
      </c>
      <c r="P54" s="74">
        <f t="shared" si="16"/>
        <v>1.618395905944941E-14</v>
      </c>
    </row>
    <row r="55" spans="2:16">
      <c r="B55" s="15">
        <v>32.121212100000001</v>
      </c>
      <c r="C55" s="16">
        <v>562.02614600000004</v>
      </c>
      <c r="D55" s="16">
        <v>18.3</v>
      </c>
      <c r="E55" s="120">
        <v>25.37</v>
      </c>
      <c r="F55" s="16">
        <f t="shared" si="13"/>
        <v>1.4171916921824199E-24</v>
      </c>
      <c r="G55" s="16">
        <f t="shared" si="18"/>
        <v>4.7503589612851352E-2</v>
      </c>
      <c r="H55" s="20">
        <v>1.2</v>
      </c>
      <c r="I55" s="120">
        <v>33.47</v>
      </c>
      <c r="J55" s="16">
        <f t="shared" si="15"/>
        <v>1</v>
      </c>
      <c r="K55" s="17">
        <f t="shared" si="8"/>
        <v>4.3306360758245364E-2</v>
      </c>
      <c r="L55" s="18">
        <f t="shared" si="19"/>
        <v>5.0709331714389213E-8</v>
      </c>
      <c r="M55" s="18">
        <f t="shared" si="17"/>
        <v>1.543394332938438E-5</v>
      </c>
      <c r="N55" s="18">
        <f t="shared" si="11"/>
        <v>1.5484652661098769E-5</v>
      </c>
      <c r="O55" s="19">
        <f t="shared" si="12"/>
        <v>1.0482491040056799E-8</v>
      </c>
      <c r="P55" s="74">
        <f t="shared" si="16"/>
        <v>1.7328418349880055E-14</v>
      </c>
    </row>
    <row r="56" spans="2:16">
      <c r="B56" s="15">
        <v>32.924242399999997</v>
      </c>
      <c r="C56" s="16">
        <v>553.25110600000005</v>
      </c>
      <c r="D56" s="16">
        <v>17.100000000000001</v>
      </c>
      <c r="E56" s="120">
        <v>23.8</v>
      </c>
      <c r="F56" s="16">
        <f t="shared" si="13"/>
        <v>4.2391260972574022E-23</v>
      </c>
      <c r="G56" s="16">
        <f t="shared" si="18"/>
        <v>5.8009412332913263E-2</v>
      </c>
      <c r="H56" s="20">
        <v>1.1299999999999999</v>
      </c>
      <c r="I56" s="120">
        <v>31.4</v>
      </c>
      <c r="J56" s="16">
        <f t="shared" si="15"/>
        <v>1</v>
      </c>
      <c r="K56" s="17">
        <f t="shared" si="8"/>
        <v>4.0834654919314817E-2</v>
      </c>
      <c r="L56" s="18">
        <f t="shared" si="19"/>
        <v>5.8389818469500195E-8</v>
      </c>
      <c r="M56" s="18">
        <f t="shared" si="17"/>
        <v>1.6047988650511441E-5</v>
      </c>
      <c r="N56" s="18">
        <f t="shared" si="11"/>
        <v>1.6106378468980942E-5</v>
      </c>
      <c r="O56" s="19">
        <f t="shared" si="12"/>
        <v>1.0727166269441888E-8</v>
      </c>
      <c r="P56" s="74">
        <f t="shared" si="16"/>
        <v>1.8630613973955872E-14</v>
      </c>
    </row>
    <row r="57" spans="2:16">
      <c r="B57" s="15">
        <v>33.7272727</v>
      </c>
      <c r="C57" s="16">
        <v>538.02963299999999</v>
      </c>
      <c r="D57" s="16">
        <v>16.100000000000001</v>
      </c>
      <c r="E57" s="120">
        <v>22.34</v>
      </c>
      <c r="F57" s="16">
        <f t="shared" si="13"/>
        <v>9.9935715958545524E-22</v>
      </c>
      <c r="G57" s="16">
        <f t="shared" si="18"/>
        <v>6.8518602584906274E-2</v>
      </c>
      <c r="H57" s="20">
        <v>1.06</v>
      </c>
      <c r="I57" s="120">
        <v>29.48</v>
      </c>
      <c r="J57" s="16">
        <f t="shared" si="15"/>
        <v>0.99999999999999989</v>
      </c>
      <c r="K57" s="17">
        <f t="shared" si="8"/>
        <v>3.8558591191233393E-2</v>
      </c>
      <c r="L57" s="18">
        <f t="shared" si="19"/>
        <v>6.5123753564996584E-8</v>
      </c>
      <c r="M57" s="18">
        <f t="shared" si="17"/>
        <v>1.6670782818507148E-5</v>
      </c>
      <c r="N57" s="18">
        <f t="shared" si="11"/>
        <v>1.6735906572072144E-5</v>
      </c>
      <c r="O57" s="19">
        <f t="shared" si="12"/>
        <v>1.110948844599413E-8</v>
      </c>
      <c r="P57" s="74">
        <f t="shared" si="16"/>
        <v>2.0247298430737703E-14</v>
      </c>
    </row>
    <row r="58" spans="2:16">
      <c r="B58" s="15">
        <v>34.530303000000004</v>
      </c>
      <c r="C58" s="16">
        <v>514.07477100000006</v>
      </c>
      <c r="D58" s="16">
        <v>15.1</v>
      </c>
      <c r="E58" s="120">
        <v>21.02</v>
      </c>
      <c r="F58" s="16">
        <f t="shared" si="13"/>
        <v>1.7400465398011864E-20</v>
      </c>
      <c r="G58" s="16">
        <f t="shared" si="18"/>
        <v>8.0931674902084833E-2</v>
      </c>
      <c r="H58" s="20">
        <v>0.998</v>
      </c>
      <c r="I58" s="120">
        <v>27.74</v>
      </c>
      <c r="J58" s="16">
        <f t="shared" si="15"/>
        <v>0.99999999999999889</v>
      </c>
      <c r="K58" s="17">
        <f t="shared" si="8"/>
        <v>3.6458562799014646E-2</v>
      </c>
      <c r="L58" s="18">
        <f t="shared" si="19"/>
        <v>7.273238725121411E-8</v>
      </c>
      <c r="M58" s="18">
        <f t="shared" si="17"/>
        <v>1.7302237721070891E-5</v>
      </c>
      <c r="N58" s="18">
        <f t="shared" si="11"/>
        <v>1.7374970108322104E-5</v>
      </c>
      <c r="O58" s="19">
        <f t="shared" si="12"/>
        <v>1.1708514440625599E-8</v>
      </c>
      <c r="P58" s="74">
        <f t="shared" si="16"/>
        <v>2.2367278675706982E-14</v>
      </c>
    </row>
    <row r="59" spans="2:16">
      <c r="B59" s="15">
        <v>35.3333333</v>
      </c>
      <c r="C59" s="16">
        <v>486.83069899999998</v>
      </c>
      <c r="D59" s="16">
        <v>14.2</v>
      </c>
      <c r="E59" s="120">
        <v>19.809999999999999</v>
      </c>
      <c r="F59" s="16">
        <f t="shared" si="13"/>
        <v>2.3877983929101896E-19</v>
      </c>
      <c r="G59" s="16">
        <f t="shared" si="18"/>
        <v>9.4015087901687472E-2</v>
      </c>
      <c r="H59" s="20">
        <v>0.94299999999999995</v>
      </c>
      <c r="I59" s="120">
        <v>26.13</v>
      </c>
      <c r="J59" s="16">
        <f t="shared" si="15"/>
        <v>0.9999999999999919</v>
      </c>
      <c r="K59" s="17">
        <f t="shared" si="8"/>
        <v>3.4517322403756108E-2</v>
      </c>
      <c r="L59" s="18">
        <f t="shared" si="19"/>
        <v>7.9991607576960816E-8</v>
      </c>
      <c r="M59" s="18">
        <f t="shared" ref="M59:M90" si="20">$K$120*0.000084*(B59/10)^(-0.45)</f>
        <v>1.7611564415328651E-5</v>
      </c>
      <c r="N59" s="18">
        <f t="shared" si="11"/>
        <v>1.7691556022905612E-5</v>
      </c>
      <c r="O59" s="19">
        <f t="shared" si="12"/>
        <v>1.2333291680381394E-8</v>
      </c>
      <c r="P59" s="74">
        <f t="shared" si="16"/>
        <v>2.4669411944796987E-14</v>
      </c>
    </row>
    <row r="60" spans="2:16">
      <c r="B60" s="15">
        <v>36.136363600000003</v>
      </c>
      <c r="C60" s="16">
        <v>459.33923499999997</v>
      </c>
      <c r="D60" s="16">
        <v>13.4</v>
      </c>
      <c r="E60" s="120">
        <v>18.670000000000002</v>
      </c>
      <c r="F60" s="16">
        <f t="shared" si="13"/>
        <v>2.8159978474420529E-18</v>
      </c>
      <c r="G60" s="16">
        <f t="shared" si="18"/>
        <v>0.10741021389349897</v>
      </c>
      <c r="H60" s="20">
        <v>0.89200000000000002</v>
      </c>
      <c r="I60" s="120">
        <v>24.63</v>
      </c>
      <c r="J60" s="16">
        <f t="shared" si="15"/>
        <v>0.99999999999994771</v>
      </c>
      <c r="K60" s="17">
        <f t="shared" si="8"/>
        <v>3.271965278292166E-2</v>
      </c>
      <c r="L60" s="18">
        <f t="shared" si="19"/>
        <v>8.6629146802889998E-8</v>
      </c>
      <c r="M60" s="18">
        <f t="shared" si="20"/>
        <v>1.7434359974445518E-5</v>
      </c>
      <c r="N60" s="18">
        <f t="shared" si="11"/>
        <v>1.752098912124841E-5</v>
      </c>
      <c r="O60" s="19">
        <f t="shared" si="12"/>
        <v>1.286292660905534E-8</v>
      </c>
      <c r="P60" s="74">
        <f t="shared" si="16"/>
        <v>2.6911583997014566E-14</v>
      </c>
    </row>
    <row r="61" spans="2:16">
      <c r="B61" s="15">
        <v>36.939393899999999</v>
      </c>
      <c r="C61" s="16">
        <v>432.63929899999999</v>
      </c>
      <c r="D61" s="16">
        <v>12.6</v>
      </c>
      <c r="E61" s="120">
        <v>17.64</v>
      </c>
      <c r="F61" s="16">
        <f t="shared" si="13"/>
        <v>2.6173610592917882E-17</v>
      </c>
      <c r="G61" s="16">
        <f t="shared" si="18"/>
        <v>0.12271385695784828</v>
      </c>
      <c r="H61" s="20">
        <v>0.84599999999999997</v>
      </c>
      <c r="I61" s="120">
        <v>23.26</v>
      </c>
      <c r="J61" s="16">
        <f t="shared" si="15"/>
        <v>0.99999999999971334</v>
      </c>
      <c r="K61" s="17">
        <f t="shared" si="8"/>
        <v>3.1052089539142534E-2</v>
      </c>
      <c r="L61" s="18">
        <f t="shared" si="19"/>
        <v>9.3927811949704095E-8</v>
      </c>
      <c r="M61" s="18">
        <f t="shared" si="20"/>
        <v>1.7262775226596975E-5</v>
      </c>
      <c r="N61" s="18">
        <f t="shared" si="11"/>
        <v>1.7356703038546678E-5</v>
      </c>
      <c r="O61" s="19">
        <f t="shared" si="12"/>
        <v>1.3444015851232544E-8</v>
      </c>
      <c r="P61" s="74">
        <f t="shared" si="16"/>
        <v>2.9391321994332631E-14</v>
      </c>
    </row>
    <row r="62" spans="2:16">
      <c r="B62" s="15">
        <v>37.742424200000002</v>
      </c>
      <c r="C62" s="16">
        <v>407.10702500000002</v>
      </c>
      <c r="D62" s="16">
        <v>11.9</v>
      </c>
      <c r="E62" s="120">
        <v>16.690000000000001</v>
      </c>
      <c r="F62" s="16">
        <f t="shared" si="13"/>
        <v>2.0459382534195968E-16</v>
      </c>
      <c r="G62" s="16">
        <f t="shared" si="18"/>
        <v>0.13788296959951771</v>
      </c>
      <c r="H62" s="20">
        <v>0.80300000000000005</v>
      </c>
      <c r="I62" s="120">
        <v>21.98</v>
      </c>
      <c r="J62" s="16">
        <f t="shared" si="15"/>
        <v>0.99999999999859546</v>
      </c>
      <c r="K62" s="17">
        <f t="shared" si="8"/>
        <v>2.950268669994156E-2</v>
      </c>
      <c r="L62" s="18">
        <f t="shared" si="19"/>
        <v>1.0027252818289652E-7</v>
      </c>
      <c r="M62" s="18">
        <f t="shared" si="20"/>
        <v>1.7096515484305903E-5</v>
      </c>
      <c r="N62" s="18">
        <f t="shared" si="11"/>
        <v>1.7196788012488801E-5</v>
      </c>
      <c r="O62" s="19">
        <f t="shared" si="12"/>
        <v>1.406910350514915E-8</v>
      </c>
      <c r="P62" s="74">
        <f t="shared" si="16"/>
        <v>3.210972469495361E-14</v>
      </c>
    </row>
    <row r="63" spans="2:16">
      <c r="B63" s="15">
        <v>38.545454499999998</v>
      </c>
      <c r="C63" s="16">
        <v>382.86210699999998</v>
      </c>
      <c r="D63" s="16">
        <v>11.3</v>
      </c>
      <c r="E63" s="120">
        <v>15.8</v>
      </c>
      <c r="F63" s="16">
        <f t="shared" si="13"/>
        <v>1.4044930159283646E-15</v>
      </c>
      <c r="G63" s="16">
        <f t="shared" si="18"/>
        <v>0.15236901043638151</v>
      </c>
      <c r="H63" s="20">
        <v>0.76400000000000001</v>
      </c>
      <c r="I63" s="120">
        <v>20.79</v>
      </c>
      <c r="J63" s="16">
        <f t="shared" si="15"/>
        <v>0.99999999999384637</v>
      </c>
      <c r="K63" s="17">
        <f t="shared" si="8"/>
        <v>2.8060817830137093E-2</v>
      </c>
      <c r="L63" s="18">
        <f t="shared" si="19"/>
        <v>1.0539178029182505E-7</v>
      </c>
      <c r="M63" s="18">
        <f t="shared" si="20"/>
        <v>1.6935307364784767E-5</v>
      </c>
      <c r="N63" s="18">
        <f t="shared" si="11"/>
        <v>1.7040699145076593E-5</v>
      </c>
      <c r="O63" s="19">
        <f t="shared" si="12"/>
        <v>1.4736046463358381E-8</v>
      </c>
      <c r="P63" s="74">
        <f t="shared" si="16"/>
        <v>3.5078248333090907E-14</v>
      </c>
    </row>
    <row r="64" spans="2:16">
      <c r="B64" s="15">
        <v>39.348484800000001</v>
      </c>
      <c r="C64" s="16">
        <v>359.92496</v>
      </c>
      <c r="D64" s="16">
        <v>10.7</v>
      </c>
      <c r="E64" s="120">
        <v>14.98</v>
      </c>
      <c r="F64" s="16">
        <f t="shared" si="13"/>
        <v>8.2859921387065781E-15</v>
      </c>
      <c r="G64" s="16">
        <f t="shared" si="18"/>
        <v>0.16837696061227961</v>
      </c>
      <c r="H64" s="20">
        <v>0.72799999999999998</v>
      </c>
      <c r="I64" s="120">
        <v>19.690000000000001</v>
      </c>
      <c r="J64" s="16">
        <f t="shared" si="15"/>
        <v>0.99999999997588918</v>
      </c>
      <c r="K64" s="17">
        <f t="shared" si="8"/>
        <v>2.6717006670730112E-2</v>
      </c>
      <c r="L64" s="18">
        <f t="shared" si="19"/>
        <v>1.1088689788409034E-7</v>
      </c>
      <c r="M64" s="18">
        <f t="shared" si="20"/>
        <v>1.6778896843987327E-5</v>
      </c>
      <c r="N64" s="18">
        <f t="shared" si="11"/>
        <v>1.6889783741871417E-5</v>
      </c>
      <c r="O64" s="19">
        <f t="shared" si="12"/>
        <v>1.5445512412974541E-8</v>
      </c>
      <c r="P64" s="74">
        <f t="shared" si="16"/>
        <v>3.831500814303425E-14</v>
      </c>
    </row>
    <row r="65" spans="2:21">
      <c r="B65" s="15">
        <v>40.151515199999999</v>
      </c>
      <c r="C65" s="16">
        <v>338.260582</v>
      </c>
      <c r="D65" s="16">
        <v>10.199999999999999</v>
      </c>
      <c r="E65" s="120">
        <v>14.22</v>
      </c>
      <c r="F65" s="16">
        <f t="shared" si="13"/>
        <v>4.293066596426953E-14</v>
      </c>
      <c r="G65" s="16">
        <f t="shared" si="18"/>
        <v>0.18299435017096752</v>
      </c>
      <c r="H65" s="20">
        <v>0.69499999999999995</v>
      </c>
      <c r="I65" s="120">
        <v>18.670000000000002</v>
      </c>
      <c r="J65" s="16">
        <f t="shared" si="15"/>
        <v>0.9999999999144632</v>
      </c>
      <c r="K65" s="17">
        <f t="shared" si="8"/>
        <v>2.5462782274303764E-2</v>
      </c>
      <c r="L65" s="18">
        <f t="shared" si="19"/>
        <v>1.1485589951262283E-7</v>
      </c>
      <c r="M65" s="18">
        <f t="shared" si="20"/>
        <v>1.6627047505333928E-5</v>
      </c>
      <c r="N65" s="18">
        <f t="shared" si="11"/>
        <v>1.6741903404846551E-5</v>
      </c>
      <c r="O65" s="19">
        <f t="shared" si="12"/>
        <v>1.6198183068387663E-8</v>
      </c>
      <c r="P65" s="74">
        <f t="shared" si="16"/>
        <v>4.1838947902056767E-14</v>
      </c>
    </row>
    <row r="66" spans="2:21">
      <c r="B66" s="15">
        <v>40.954545500000002</v>
      </c>
      <c r="C66" s="60">
        <v>330</v>
      </c>
      <c r="D66" s="16">
        <v>9.64</v>
      </c>
      <c r="E66" s="120">
        <v>13.51</v>
      </c>
      <c r="F66" s="16">
        <f t="shared" si="13"/>
        <v>1.9961318022939863E-13</v>
      </c>
      <c r="G66" s="16">
        <f t="shared" si="18"/>
        <v>0.20087750189853143</v>
      </c>
      <c r="H66" s="20">
        <v>0.66400000000000003</v>
      </c>
      <c r="I66" s="120">
        <v>17.71</v>
      </c>
      <c r="J66" s="16">
        <f t="shared" si="15"/>
        <v>0.99999999971832865</v>
      </c>
      <c r="K66" s="17">
        <f t="shared" si="8"/>
        <v>2.4290555558203423E-2</v>
      </c>
      <c r="L66" s="18">
        <f t="shared" si="19"/>
        <v>1.2027587269944256E-7</v>
      </c>
      <c r="M66" s="18">
        <f t="shared" si="20"/>
        <v>1.6479539068319516E-5</v>
      </c>
      <c r="N66" s="18">
        <f t="shared" si="11"/>
        <v>1.6599814941018959E-5</v>
      </c>
      <c r="O66" s="19">
        <f t="shared" si="12"/>
        <v>1.6370158197707348E-8</v>
      </c>
      <c r="P66" s="74">
        <f t="shared" si="16"/>
        <v>4.3991388710223104E-14</v>
      </c>
    </row>
    <row r="67" spans="2:21">
      <c r="B67" s="15">
        <v>41.757575799999998</v>
      </c>
      <c r="C67" s="60">
        <v>330</v>
      </c>
      <c r="D67" s="16">
        <v>9.16</v>
      </c>
      <c r="E67" s="120">
        <v>12.83</v>
      </c>
      <c r="F67" s="16">
        <f t="shared" si="13"/>
        <v>8.6978094701975055E-13</v>
      </c>
      <c r="G67" s="16">
        <f t="shared" si="18"/>
        <v>0.21759059204985859</v>
      </c>
      <c r="H67" s="20">
        <v>0.63600000000000001</v>
      </c>
      <c r="I67" s="120">
        <v>16.809999999999999</v>
      </c>
      <c r="J67" s="16">
        <f t="shared" si="15"/>
        <v>0.99999999913908044</v>
      </c>
      <c r="K67" s="17">
        <f t="shared" si="8"/>
        <v>2.3193511678465777E-2</v>
      </c>
      <c r="L67" s="18">
        <f t="shared" si="19"/>
        <v>1.2439885852079338E-7</v>
      </c>
      <c r="M67" s="18">
        <f t="shared" si="20"/>
        <v>1.6336165891600194E-5</v>
      </c>
      <c r="N67" s="18">
        <f t="shared" si="11"/>
        <v>1.6460564750120988E-5</v>
      </c>
      <c r="O67" s="19">
        <f t="shared" si="12"/>
        <v>1.6143847089218208E-8</v>
      </c>
      <c r="P67" s="74">
        <f t="shared" si="16"/>
        <v>4.5101207132203339E-14</v>
      </c>
    </row>
    <row r="68" spans="2:21">
      <c r="B68" s="15">
        <v>42.560606100000001</v>
      </c>
      <c r="C68" s="60">
        <v>330</v>
      </c>
      <c r="D68" s="16">
        <v>8.7100000000000009</v>
      </c>
      <c r="E68" s="120">
        <v>12.21</v>
      </c>
      <c r="F68" s="16">
        <f t="shared" si="13"/>
        <v>3.328348103607061E-12</v>
      </c>
      <c r="G68" s="16">
        <f t="shared" si="18"/>
        <v>0.23451986090297475</v>
      </c>
      <c r="H68" s="20">
        <v>0.61</v>
      </c>
      <c r="I68" s="120">
        <v>15.98</v>
      </c>
      <c r="J68" s="16">
        <f t="shared" si="15"/>
        <v>0.99999999758761515</v>
      </c>
      <c r="K68" s="17">
        <f t="shared" si="8"/>
        <v>2.2165518634124873E-2</v>
      </c>
      <c r="L68" s="18">
        <f t="shared" si="19"/>
        <v>1.2813486194534843E-7</v>
      </c>
      <c r="M68" s="18">
        <f t="shared" si="20"/>
        <v>1.6196735808692159E-5</v>
      </c>
      <c r="N68" s="18">
        <f t="shared" si="11"/>
        <v>1.6324870670637507E-5</v>
      </c>
      <c r="O68" s="19">
        <f t="shared" si="12"/>
        <v>1.5924774160649635E-8</v>
      </c>
      <c r="P68" s="74">
        <f t="shared" si="16"/>
        <v>4.6216756615172119E-14</v>
      </c>
    </row>
    <row r="69" spans="2:21">
      <c r="B69" s="15">
        <v>43.363636399999997</v>
      </c>
      <c r="C69" s="60">
        <v>330</v>
      </c>
      <c r="D69" s="16">
        <v>8.2899999999999991</v>
      </c>
      <c r="E69" s="120">
        <v>11.64</v>
      </c>
      <c r="F69" s="16">
        <f t="shared" si="13"/>
        <v>1.1429995863733276E-11</v>
      </c>
      <c r="G69" s="16">
        <f t="shared" si="18"/>
        <v>0.25150686338839795</v>
      </c>
      <c r="H69" s="20">
        <v>0.58599999999999997</v>
      </c>
      <c r="I69" s="120">
        <v>15.2</v>
      </c>
      <c r="J69" s="16">
        <f t="shared" si="15"/>
        <v>0.99999999364719883</v>
      </c>
      <c r="K69" s="17">
        <f t="shared" si="8"/>
        <v>2.1201047489702304E-2</v>
      </c>
      <c r="L69" s="18">
        <f t="shared" si="19"/>
        <v>1.3143679592914714E-7</v>
      </c>
      <c r="M69" s="18">
        <f t="shared" si="20"/>
        <v>1.6061068994159416E-5</v>
      </c>
      <c r="N69" s="18">
        <f t="shared" si="11"/>
        <v>1.6192505790088564E-5</v>
      </c>
      <c r="O69" s="19">
        <f t="shared" si="12"/>
        <v>1.5712543552414837E-8</v>
      </c>
      <c r="P69" s="74">
        <f t="shared" si="16"/>
        <v>4.7337842160066044E-14</v>
      </c>
    </row>
    <row r="70" spans="2:21">
      <c r="B70" s="15">
        <v>44.1666667</v>
      </c>
      <c r="C70" s="60">
        <v>330</v>
      </c>
      <c r="D70" s="16">
        <v>7.9</v>
      </c>
      <c r="E70" s="120">
        <v>11.09</v>
      </c>
      <c r="F70" s="16">
        <f t="shared" si="13"/>
        <v>3.75891752225176E-11</v>
      </c>
      <c r="G70" s="16">
        <f t="shared" si="18"/>
        <v>0.26838037366823686</v>
      </c>
      <c r="H70" s="20">
        <v>0.56299999999999994</v>
      </c>
      <c r="I70" s="120">
        <v>14.47</v>
      </c>
      <c r="J70" s="16">
        <f t="shared" si="15"/>
        <v>0.99999998427690207</v>
      </c>
      <c r="K70" s="17">
        <f t="shared" si="8"/>
        <v>2.029510330642734E-2</v>
      </c>
      <c r="L70" s="18">
        <f t="shared" si="19"/>
        <v>1.3426162417757008E-7</v>
      </c>
      <c r="M70" s="18">
        <f t="shared" si="20"/>
        <v>1.5928996960005884E-5</v>
      </c>
      <c r="N70" s="18">
        <f t="shared" si="11"/>
        <v>1.6063258584183453E-5</v>
      </c>
      <c r="O70" s="19">
        <f t="shared" si="12"/>
        <v>1.5506787251620037E-8</v>
      </c>
      <c r="P70" s="74">
        <f t="shared" si="16"/>
        <v>4.8464267217670495E-14</v>
      </c>
    </row>
    <row r="71" spans="2:21">
      <c r="B71" s="15">
        <v>44.969696999999996</v>
      </c>
      <c r="C71" s="60">
        <v>330</v>
      </c>
      <c r="D71" s="16">
        <v>7.54</v>
      </c>
      <c r="E71" s="120">
        <v>10.58</v>
      </c>
      <c r="F71" s="16">
        <f t="shared" si="13"/>
        <v>1.1336482023158755E-10</v>
      </c>
      <c r="G71" s="16">
        <f t="shared" si="18"/>
        <v>0.28495899108403233</v>
      </c>
      <c r="H71" s="20">
        <v>0.54200000000000004</v>
      </c>
      <c r="I71" s="120">
        <v>13.78</v>
      </c>
      <c r="J71" s="16">
        <f t="shared" si="15"/>
        <v>0.99999996297194615</v>
      </c>
      <c r="K71" s="17">
        <f t="shared" si="8"/>
        <v>1.9443165062061164E-2</v>
      </c>
      <c r="L71" s="18">
        <f t="shared" si="19"/>
        <v>1.3657128829367799E-7</v>
      </c>
      <c r="M71" s="18">
        <f t="shared" si="20"/>
        <v>1.5800361650231942E-5</v>
      </c>
      <c r="N71" s="18">
        <f t="shared" si="11"/>
        <v>1.5936932938525622E-5</v>
      </c>
      <c r="O71" s="19">
        <f t="shared" si="12"/>
        <v>1.5307163333597989E-8</v>
      </c>
      <c r="P71" s="74">
        <f t="shared" si="16"/>
        <v>4.9595835778912786E-14</v>
      </c>
    </row>
    <row r="72" spans="2:21">
      <c r="B72" s="15">
        <v>45.7727273</v>
      </c>
      <c r="C72" s="60">
        <v>330</v>
      </c>
      <c r="D72" s="16">
        <v>7.2</v>
      </c>
      <c r="E72" s="120">
        <v>10.11</v>
      </c>
      <c r="F72" s="16">
        <f t="shared" si="13"/>
        <v>3.1353974047933893E-10</v>
      </c>
      <c r="G72" s="16">
        <f t="shared" si="18"/>
        <v>0.30155586191309924</v>
      </c>
      <c r="H72" s="20">
        <v>0.52200000000000002</v>
      </c>
      <c r="I72" s="120">
        <v>13.14</v>
      </c>
      <c r="J72" s="16">
        <f t="shared" si="15"/>
        <v>0.99999991804454758</v>
      </c>
      <c r="K72" s="17">
        <f t="shared" si="8"/>
        <v>1.8641133254104967E-2</v>
      </c>
      <c r="L72" s="18">
        <f t="shared" si="19"/>
        <v>1.385640823963921E-7</v>
      </c>
      <c r="M72" s="18">
        <f t="shared" si="20"/>
        <v>1.5675014622392149E-5</v>
      </c>
      <c r="N72" s="18">
        <f t="shared" si="11"/>
        <v>1.581357870478854E-5</v>
      </c>
      <c r="O72" s="19">
        <f t="shared" si="12"/>
        <v>1.5113464531519094E-8</v>
      </c>
      <c r="P72" s="74">
        <f t="shared" si="16"/>
        <v>5.0732724444649544E-14</v>
      </c>
    </row>
    <row r="73" spans="2:21">
      <c r="B73" s="15">
        <v>46.575757600000003</v>
      </c>
      <c r="C73" s="60">
        <v>330</v>
      </c>
      <c r="D73" s="16">
        <v>6.88</v>
      </c>
      <c r="E73" s="120">
        <v>9.66</v>
      </c>
      <c r="F73" s="16">
        <f t="shared" si="13"/>
        <v>8.3043620914987128E-10</v>
      </c>
      <c r="G73" s="16">
        <f t="shared" si="18"/>
        <v>0.31805848436958528</v>
      </c>
      <c r="H73" s="20">
        <v>0.504</v>
      </c>
      <c r="I73" s="120">
        <v>12.54</v>
      </c>
      <c r="J73" s="16">
        <f t="shared" si="15"/>
        <v>0.99999982739843651</v>
      </c>
      <c r="K73" s="17">
        <f t="shared" si="8"/>
        <v>1.7885284089697719E-2</v>
      </c>
      <c r="L73" s="18">
        <f t="shared" si="19"/>
        <v>1.4022151584823643E-7</v>
      </c>
      <c r="M73" s="18">
        <f t="shared" si="20"/>
        <v>1.5552816306431911E-5</v>
      </c>
      <c r="N73" s="18">
        <f t="shared" si="11"/>
        <v>1.5693037822280146E-5</v>
      </c>
      <c r="O73" s="19">
        <f t="shared" si="12"/>
        <v>1.4925398318515087E-8</v>
      </c>
      <c r="P73" s="74">
        <f t="shared" si="16"/>
        <v>5.1874791009638125E-14</v>
      </c>
    </row>
    <row r="74" spans="2:21">
      <c r="B74" s="15">
        <v>47.378787899999999</v>
      </c>
      <c r="C74" s="60">
        <v>330</v>
      </c>
      <c r="D74" s="16">
        <v>6.58</v>
      </c>
      <c r="E74" s="120">
        <v>9.2430000000000003</v>
      </c>
      <c r="F74" s="16">
        <f t="shared" si="13"/>
        <v>2.0478538389830566E-9</v>
      </c>
      <c r="G74" s="16">
        <f t="shared" si="18"/>
        <v>0.33434897370828182</v>
      </c>
      <c r="H74" s="20">
        <v>0.48699999999999999</v>
      </c>
      <c r="I74" s="120">
        <v>11.97</v>
      </c>
      <c r="J74" s="16">
        <f t="shared" si="15"/>
        <v>0.99999964978374434</v>
      </c>
      <c r="K74" s="17">
        <f t="shared" si="8"/>
        <v>1.7172229337785727E-2</v>
      </c>
      <c r="L74" s="18">
        <f t="shared" si="19"/>
        <v>1.4152765183371044E-7</v>
      </c>
      <c r="M74" s="18">
        <f t="shared" si="20"/>
        <v>1.5433635332314322E-5</v>
      </c>
      <c r="N74" s="18">
        <f t="shared" si="11"/>
        <v>1.5575162984148031E-5</v>
      </c>
      <c r="O74" s="19">
        <f t="shared" si="12"/>
        <v>1.4742691830055706E-8</v>
      </c>
      <c r="P74" s="74">
        <f t="shared" si="16"/>
        <v>5.3021895999750263E-14</v>
      </c>
    </row>
    <row r="75" spans="2:21">
      <c r="B75" s="15">
        <v>48.181818200000002</v>
      </c>
      <c r="C75" s="60">
        <v>330</v>
      </c>
      <c r="D75" s="16">
        <v>6.3</v>
      </c>
      <c r="E75" s="120">
        <v>8.8510000000000009</v>
      </c>
      <c r="F75" s="16">
        <f t="shared" si="13"/>
        <v>4.7839967483071259E-9</v>
      </c>
      <c r="G75" s="16">
        <f t="shared" si="18"/>
        <v>0.35030537671844014</v>
      </c>
      <c r="H75" s="20">
        <v>0.47099999999999997</v>
      </c>
      <c r="I75" s="120">
        <v>11.44</v>
      </c>
      <c r="J75" s="16">
        <f t="shared" si="15"/>
        <v>0.99999932381220757</v>
      </c>
      <c r="K75" s="17">
        <f t="shared" si="8"/>
        <v>1.6498881061970849E-2</v>
      </c>
      <c r="L75" s="18">
        <f t="shared" si="19"/>
        <v>1.4246951335519997E-7</v>
      </c>
      <c r="M75" s="18">
        <f t="shared" si="20"/>
        <v>1.5317347919007453E-5</v>
      </c>
      <c r="N75" s="18">
        <f t="shared" si="11"/>
        <v>1.5459817432362652E-5</v>
      </c>
      <c r="O75" s="19">
        <f t="shared" si="12"/>
        <v>1.4565090591266347E-8</v>
      </c>
      <c r="P75" s="74">
        <f t="shared" si="16"/>
        <v>5.4173903980900335E-14</v>
      </c>
    </row>
    <row r="76" spans="2:21">
      <c r="B76" s="15">
        <v>48.984848499999998</v>
      </c>
      <c r="C76" s="60">
        <v>330</v>
      </c>
      <c r="D76" s="16">
        <v>6.03</v>
      </c>
      <c r="E76" s="120">
        <v>8.4819999999999993</v>
      </c>
      <c r="F76" s="16">
        <f t="shared" si="13"/>
        <v>1.0633153799774586E-8</v>
      </c>
      <c r="G76" s="16">
        <f t="shared" si="18"/>
        <v>0.36641269458105225</v>
      </c>
      <c r="H76" s="20">
        <v>0.45600000000000002</v>
      </c>
      <c r="I76" s="120">
        <v>10.94</v>
      </c>
      <c r="J76" s="16">
        <f t="shared" si="15"/>
        <v>0.99999874216680018</v>
      </c>
      <c r="K76" s="17">
        <f t="shared" si="8"/>
        <v>1.5862420571245765E-2</v>
      </c>
      <c r="L76" s="18">
        <f t="shared" si="19"/>
        <v>1.4327582974774632E-7</v>
      </c>
      <c r="M76" s="18">
        <f t="shared" si="20"/>
        <v>1.5203837318313944E-5</v>
      </c>
      <c r="N76" s="18">
        <f t="shared" si="11"/>
        <v>1.5347113148061691E-5</v>
      </c>
      <c r="O76" s="19">
        <f t="shared" si="12"/>
        <v>1.4392469490805123E-8</v>
      </c>
      <c r="P76" s="74">
        <f t="shared" si="16"/>
        <v>5.5331116048973896E-14</v>
      </c>
    </row>
    <row r="77" spans="2:21">
      <c r="B77" s="15">
        <v>49.787878800000001</v>
      </c>
      <c r="C77" s="60">
        <v>330</v>
      </c>
      <c r="D77" s="16">
        <v>5.78</v>
      </c>
      <c r="E77" s="120">
        <v>8.1289999999999996</v>
      </c>
      <c r="F77" s="16">
        <f t="shared" si="13"/>
        <v>2.2829312288677764E-8</v>
      </c>
      <c r="G77" s="16">
        <f t="shared" si="18"/>
        <v>0.38198650432186465</v>
      </c>
      <c r="H77" s="20">
        <v>0.442</v>
      </c>
      <c r="I77" s="120">
        <v>10.47</v>
      </c>
      <c r="J77" s="16">
        <f t="shared" si="15"/>
        <v>0.9999977457427085</v>
      </c>
      <c r="K77" s="17">
        <f t="shared" si="8"/>
        <v>1.5260271024961353E-2</v>
      </c>
      <c r="L77" s="18">
        <f t="shared" si="19"/>
        <v>1.43703697814384E-7</v>
      </c>
      <c r="M77" s="18">
        <f t="shared" si="20"/>
        <v>1.5092993307811555E-5</v>
      </c>
      <c r="N77" s="18">
        <f t="shared" si="11"/>
        <v>1.5236697005625938E-5</v>
      </c>
      <c r="O77" s="19">
        <f t="shared" si="12"/>
        <v>1.4224496120976706E-8</v>
      </c>
      <c r="P77" s="74">
        <f t="shared" si="16"/>
        <v>5.6493009714754253E-14</v>
      </c>
      <c r="T77" s="122"/>
      <c r="U77" s="67"/>
    </row>
    <row r="78" spans="2:21">
      <c r="B78" s="15">
        <v>50.590909099999998</v>
      </c>
      <c r="C78" s="60">
        <v>330</v>
      </c>
      <c r="D78" s="16">
        <v>5.55</v>
      </c>
      <c r="E78" s="120">
        <v>7.8</v>
      </c>
      <c r="F78" s="16">
        <f t="shared" si="13"/>
        <v>4.6533190722205356E-8</v>
      </c>
      <c r="G78" s="16">
        <f t="shared" si="18"/>
        <v>0.39689838033105312</v>
      </c>
      <c r="H78" s="20">
        <v>0.222</v>
      </c>
      <c r="I78" s="120">
        <v>10.029999999999999</v>
      </c>
      <c r="J78" s="16">
        <f t="shared" si="15"/>
        <v>0.99999607125295109</v>
      </c>
      <c r="K78" s="17">
        <f t="shared" si="8"/>
        <v>1.4690073211358711E-2</v>
      </c>
      <c r="L78" s="18">
        <f t="shared" si="19"/>
        <v>1.4374980133680263E-7</v>
      </c>
      <c r="M78" s="18">
        <f t="shared" si="20"/>
        <v>1.4984711727854194E-5</v>
      </c>
      <c r="N78" s="18">
        <f t="shared" si="11"/>
        <v>1.5128461529190997E-5</v>
      </c>
      <c r="O78" s="19">
        <f t="shared" si="12"/>
        <v>1.4060965912105026E-8</v>
      </c>
      <c r="P78" s="74">
        <f t="shared" si="16"/>
        <v>5.765947673787744E-14</v>
      </c>
      <c r="T78" s="122"/>
      <c r="U78" s="67"/>
    </row>
    <row r="79" spans="2:21">
      <c r="B79" s="15">
        <v>51.393939400000001</v>
      </c>
      <c r="C79" s="60">
        <v>330</v>
      </c>
      <c r="D79" s="16">
        <v>5.32</v>
      </c>
      <c r="E79" s="120">
        <v>7.4880000000000004</v>
      </c>
      <c r="F79" s="16">
        <f t="shared" si="13"/>
        <v>9.1422337094666706E-8</v>
      </c>
      <c r="G79" s="16">
        <f t="shared" si="18"/>
        <v>0.41239238173890747</v>
      </c>
      <c r="H79" s="20">
        <v>0.21099999999999999</v>
      </c>
      <c r="I79" s="120">
        <v>9.6080000000000005</v>
      </c>
      <c r="J79" s="16">
        <f t="shared" si="15"/>
        <v>0.99999336674550399</v>
      </c>
      <c r="K79" s="17">
        <f t="shared" si="8"/>
        <v>1.4149664088672829E-2</v>
      </c>
      <c r="L79" s="18">
        <f t="shared" si="19"/>
        <v>1.4389476162217695E-7</v>
      </c>
      <c r="M79" s="18">
        <f t="shared" si="20"/>
        <v>1.4878894058173329E-5</v>
      </c>
      <c r="N79" s="18">
        <f t="shared" si="11"/>
        <v>1.5022788819795507E-5</v>
      </c>
      <c r="O79" s="19">
        <f t="shared" si="12"/>
        <v>1.3901911396634906E-8</v>
      </c>
      <c r="P79" s="74">
        <f t="shared" si="16"/>
        <v>5.8831362522097955E-14</v>
      </c>
      <c r="T79" s="122"/>
      <c r="U79" s="67"/>
    </row>
    <row r="80" spans="2:21">
      <c r="B80" s="15">
        <v>52.196969699999997</v>
      </c>
      <c r="C80" s="60">
        <v>330</v>
      </c>
      <c r="D80" s="16">
        <v>5.1100000000000003</v>
      </c>
      <c r="E80" s="120">
        <v>7.19</v>
      </c>
      <c r="F80" s="16">
        <f t="shared" si="13"/>
        <v>1.7425344797214485E-7</v>
      </c>
      <c r="G80" s="16">
        <f t="shared" ref="G80:G115" si="21">EXP(-1*D80*$C$5*$C$7)</f>
        <v>0.4270667306904749</v>
      </c>
      <c r="H80" s="20">
        <v>0.20100000000000001</v>
      </c>
      <c r="I80" s="120">
        <v>9.2089999999999996</v>
      </c>
      <c r="J80" s="16">
        <f t="shared" si="15"/>
        <v>0.99998911587225325</v>
      </c>
      <c r="K80" s="17">
        <f t="shared" si="8"/>
        <v>1.3637057736483514E-2</v>
      </c>
      <c r="L80" s="18">
        <f t="shared" si="19"/>
        <v>1.4366638678247864E-7</v>
      </c>
      <c r="M80" s="18">
        <f t="shared" si="20"/>
        <v>1.477544703013321E-5</v>
      </c>
      <c r="N80" s="18">
        <f t="shared" si="11"/>
        <v>1.4919113416915688E-5</v>
      </c>
      <c r="O80" s="19">
        <f t="shared" si="12"/>
        <v>1.3746935585328349E-8</v>
      </c>
      <c r="P80" s="74">
        <f t="shared" si="16"/>
        <v>6.0007709966519718E-14</v>
      </c>
      <c r="T80" s="122"/>
      <c r="U80" s="67"/>
    </row>
    <row r="81" spans="2:21">
      <c r="B81" s="15">
        <v>53</v>
      </c>
      <c r="C81" s="60">
        <v>330</v>
      </c>
      <c r="D81" s="16">
        <v>4.91</v>
      </c>
      <c r="E81" s="120">
        <v>6.9119999999999999</v>
      </c>
      <c r="F81" s="16">
        <f t="shared" si="13"/>
        <v>3.1806057019260273E-7</v>
      </c>
      <c r="G81" s="16">
        <f t="shared" si="21"/>
        <v>0.44152748817686449</v>
      </c>
      <c r="H81" s="20">
        <v>0.192</v>
      </c>
      <c r="I81" s="120">
        <v>8.8369999999999997</v>
      </c>
      <c r="J81" s="16">
        <f t="shared" si="15"/>
        <v>0.99998272966036816</v>
      </c>
      <c r="K81" s="17">
        <f t="shared" ref="K81:K115" si="22">MIN(167*POWER(B81,-2.38),11.6*POWER(B81,-1.41))</f>
        <v>1.3150428414530577E-2</v>
      </c>
      <c r="L81" s="18">
        <f t="shared" ref="L81:L112" si="23">K81*$N$10*J81*(G81*($D$10-$D$8)+MAX(G81*F81*($D$9-$D$10),0)+F81*$D$11+$D$12)</f>
        <v>1.4331410457745197E-7</v>
      </c>
      <c r="M81" s="18">
        <f t="shared" si="20"/>
        <v>1.4674282271140695E-5</v>
      </c>
      <c r="N81" s="18">
        <f t="shared" ref="N81:N115" si="24">L81+M81</f>
        <v>1.4817596375718146E-5</v>
      </c>
      <c r="O81" s="19">
        <f t="shared" ref="O81:O115" si="25">100*$O$5*SQRT(N81)/(C81*J81*SQRT(($O$4*B81)*$O$6))/$L$5</f>
        <v>1.3595987428177159E-8</v>
      </c>
      <c r="P81" s="74">
        <f t="shared" si="16"/>
        <v>6.11889594416869E-14</v>
      </c>
      <c r="T81" s="122"/>
      <c r="U81" s="67"/>
    </row>
    <row r="82" spans="2:21">
      <c r="B82" s="15">
        <v>53.803030300000003</v>
      </c>
      <c r="C82" s="60">
        <v>330</v>
      </c>
      <c r="D82" s="16">
        <v>4.7300000000000004</v>
      </c>
      <c r="E82" s="120">
        <v>6.649</v>
      </c>
      <c r="F82" s="16">
        <f t="shared" si="13"/>
        <v>5.6200195972704638E-7</v>
      </c>
      <c r="G82" s="16">
        <f t="shared" si="21"/>
        <v>0.45496035304163235</v>
      </c>
      <c r="H82" s="20">
        <v>0.183</v>
      </c>
      <c r="I82" s="120">
        <v>8.4849999999999994</v>
      </c>
      <c r="J82" s="16">
        <f t="shared" si="15"/>
        <v>0.99997326762018057</v>
      </c>
      <c r="K82" s="17">
        <f t="shared" si="22"/>
        <v>1.2688095468154685E-2</v>
      </c>
      <c r="L82" s="18">
        <f t="shared" si="23"/>
        <v>1.4261912111623534E-7</v>
      </c>
      <c r="M82" s="18">
        <f t="shared" si="20"/>
        <v>1.4575315978101142E-5</v>
      </c>
      <c r="N82" s="18">
        <f t="shared" si="24"/>
        <v>1.4717935099217378E-5</v>
      </c>
      <c r="O82" s="19">
        <f t="shared" si="25"/>
        <v>1.3448814135199068E-8</v>
      </c>
      <c r="P82" s="74">
        <f t="shared" si="16"/>
        <v>6.2374638171190643E-14</v>
      </c>
      <c r="T82" s="122"/>
      <c r="U82" s="67"/>
    </row>
    <row r="83" spans="2:21">
      <c r="B83" s="15">
        <v>54.606060599999999</v>
      </c>
      <c r="C83" s="60">
        <v>330</v>
      </c>
      <c r="D83" s="16">
        <v>4.55</v>
      </c>
      <c r="E83" s="120">
        <v>6.3970000000000002</v>
      </c>
      <c r="F83" s="16">
        <f t="shared" si="13"/>
        <v>9.6967342247356844E-7</v>
      </c>
      <c r="G83" s="16">
        <f t="shared" si="21"/>
        <v>0.46880189429305102</v>
      </c>
      <c r="H83" s="20">
        <v>0.17399999999999999</v>
      </c>
      <c r="I83" s="120">
        <v>8.1479999999999997</v>
      </c>
      <c r="J83" s="16">
        <f t="shared" si="15"/>
        <v>0.99995938406172336</v>
      </c>
      <c r="K83" s="17">
        <f t="shared" si="22"/>
        <v>1.2248509855136022E-2</v>
      </c>
      <c r="L83" s="18">
        <f t="shared" si="23"/>
        <v>1.4208690120782761E-7</v>
      </c>
      <c r="M83" s="18">
        <f t="shared" si="20"/>
        <v>1.4478468617153895E-5</v>
      </c>
      <c r="N83" s="18">
        <f t="shared" si="24"/>
        <v>1.4620555518361723E-5</v>
      </c>
      <c r="O83" s="19">
        <f t="shared" si="25"/>
        <v>1.3305508040415958E-8</v>
      </c>
      <c r="P83" s="74">
        <f t="shared" si="16"/>
        <v>6.3565831076501093E-14</v>
      </c>
      <c r="T83" s="122"/>
      <c r="U83" s="67"/>
    </row>
    <row r="84" spans="2:21">
      <c r="B84" s="15">
        <v>55.409090900000002</v>
      </c>
      <c r="C84" s="60">
        <v>330</v>
      </c>
      <c r="D84" s="16">
        <v>4.38</v>
      </c>
      <c r="E84" s="120">
        <v>6.1609999999999996</v>
      </c>
      <c r="F84" s="16">
        <f t="shared" si="13"/>
        <v>1.6161165143506094E-6</v>
      </c>
      <c r="G84" s="16">
        <f t="shared" si="21"/>
        <v>0.48226091208886951</v>
      </c>
      <c r="H84" s="20">
        <v>0.16600000000000001</v>
      </c>
      <c r="I84" s="120">
        <v>7.8319999999999999</v>
      </c>
      <c r="J84" s="16">
        <f t="shared" si="15"/>
        <v>0.99993987891824632</v>
      </c>
      <c r="K84" s="17">
        <f t="shared" si="22"/>
        <v>1.1830242099008107E-2</v>
      </c>
      <c r="L84" s="18">
        <f t="shared" si="23"/>
        <v>1.4151194952866839E-7</v>
      </c>
      <c r="M84" s="18">
        <f t="shared" si="20"/>
        <v>1.4383664647220793E-5</v>
      </c>
      <c r="N84" s="18">
        <f t="shared" si="24"/>
        <v>1.4525176596749462E-5</v>
      </c>
      <c r="O84" s="19">
        <f t="shared" si="25"/>
        <v>1.3165841354442165E-8</v>
      </c>
      <c r="P84" s="74">
        <f t="shared" si="16"/>
        <v>6.4762147486207595E-14</v>
      </c>
      <c r="T84" s="122"/>
      <c r="U84" s="67"/>
    </row>
    <row r="85" spans="2:21">
      <c r="B85" s="15">
        <v>56.212121199999999</v>
      </c>
      <c r="C85" s="60">
        <v>330</v>
      </c>
      <c r="D85" s="16">
        <v>4.22</v>
      </c>
      <c r="E85" s="120">
        <v>5.9370000000000003</v>
      </c>
      <c r="F85" s="16">
        <f t="shared" ref="F85:F115" si="26">EXP(-$C$5*$C$6*E85)</f>
        <v>2.624457106189295E-6</v>
      </c>
      <c r="G85" s="16">
        <f t="shared" si="21"/>
        <v>0.49528100035327055</v>
      </c>
      <c r="H85" s="20">
        <v>0.159</v>
      </c>
      <c r="I85" s="120">
        <v>7.5330000000000004</v>
      </c>
      <c r="J85" s="16">
        <f t="shared" ref="J85:J115" si="27">1-EXP(-H85*$I$4*$I$6)*EXP(-I85*$I$5*$I$7)</f>
        <v>0.99991286701123983</v>
      </c>
      <c r="K85" s="17">
        <f t="shared" si="22"/>
        <v>1.143197149978404E-2</v>
      </c>
      <c r="L85" s="18">
        <f t="shared" si="23"/>
        <v>1.4094828355114983E-7</v>
      </c>
      <c r="M85" s="18">
        <f t="shared" si="20"/>
        <v>1.4290832265164636E-5</v>
      </c>
      <c r="N85" s="18">
        <f t="shared" si="24"/>
        <v>1.4431780548715787E-5</v>
      </c>
      <c r="O85" s="19">
        <f t="shared" si="25"/>
        <v>1.3029721182609395E-8</v>
      </c>
      <c r="P85" s="74">
        <f t="shared" ref="P85:P115" si="28">O85*B85*B85*0.0000000016021773</f>
        <v>6.5963796735294967E-14</v>
      </c>
      <c r="T85" s="122"/>
      <c r="U85" s="67"/>
    </row>
    <row r="86" spans="2:21">
      <c r="B86" s="15">
        <v>57.015151500000002</v>
      </c>
      <c r="C86" s="60">
        <v>330</v>
      </c>
      <c r="D86" s="16">
        <v>4.07</v>
      </c>
      <c r="E86" s="120">
        <v>5.7220000000000004</v>
      </c>
      <c r="F86" s="16">
        <f t="shared" si="26"/>
        <v>4.1797087119172451E-6</v>
      </c>
      <c r="G86" s="16">
        <f t="shared" si="21"/>
        <v>0.50780640325190118</v>
      </c>
      <c r="H86" s="20">
        <v>0.152</v>
      </c>
      <c r="I86" s="120">
        <v>7.2450000000000001</v>
      </c>
      <c r="J86" s="16">
        <f t="shared" si="27"/>
        <v>0.99987542965729925</v>
      </c>
      <c r="K86" s="17">
        <f t="shared" si="22"/>
        <v>1.1052476455145361E-2</v>
      </c>
      <c r="L86" s="18">
        <f t="shared" si="23"/>
        <v>1.4047470043831715E-7</v>
      </c>
      <c r="M86" s="18">
        <f t="shared" si="20"/>
        <v>1.4199903170586689E-5</v>
      </c>
      <c r="N86" s="18">
        <f t="shared" si="24"/>
        <v>1.4340377871025006E-5</v>
      </c>
      <c r="O86" s="19">
        <f t="shared" si="25"/>
        <v>1.289708518019972E-8</v>
      </c>
      <c r="P86" s="74">
        <f t="shared" si="28"/>
        <v>6.7171138261302529E-14</v>
      </c>
      <c r="T86" s="122"/>
      <c r="U86" s="67"/>
    </row>
    <row r="87" spans="2:21">
      <c r="B87" s="15">
        <v>57.818181799999998</v>
      </c>
      <c r="C87" s="60">
        <v>330</v>
      </c>
      <c r="D87" s="16">
        <v>3.92</v>
      </c>
      <c r="E87" s="120">
        <v>5.5209999999999999</v>
      </c>
      <c r="F87" s="16">
        <f t="shared" si="26"/>
        <v>6.4579120789853522E-6</v>
      </c>
      <c r="G87" s="16">
        <f t="shared" si="21"/>
        <v>0.52064856717641639</v>
      </c>
      <c r="H87" s="20">
        <v>0.14499999999999999</v>
      </c>
      <c r="I87" s="120">
        <v>6.976</v>
      </c>
      <c r="J87" s="16">
        <f t="shared" si="27"/>
        <v>0.9998260538866317</v>
      </c>
      <c r="K87" s="17">
        <f t="shared" si="22"/>
        <v>1.0690625764103033E-2</v>
      </c>
      <c r="L87" s="18">
        <f t="shared" si="23"/>
        <v>1.4038383305264691E-7</v>
      </c>
      <c r="M87" s="18">
        <f t="shared" si="20"/>
        <v>1.411081234849708E-5</v>
      </c>
      <c r="N87" s="18">
        <f t="shared" si="24"/>
        <v>1.4251196181549726E-5</v>
      </c>
      <c r="O87" s="19">
        <f t="shared" si="25"/>
        <v>1.2767953809680358E-8</v>
      </c>
      <c r="P87" s="74">
        <f t="shared" si="28"/>
        <v>6.8384982141703331E-14</v>
      </c>
      <c r="T87" s="122"/>
      <c r="U87" s="67"/>
    </row>
    <row r="88" spans="2:21">
      <c r="B88" s="15">
        <v>58.621212100000001</v>
      </c>
      <c r="C88" s="60">
        <v>330</v>
      </c>
      <c r="D88" s="16">
        <v>3.79</v>
      </c>
      <c r="E88" s="120">
        <v>5.3289999999999997</v>
      </c>
      <c r="F88" s="16">
        <f t="shared" si="26"/>
        <v>9.7853860954994221E-6</v>
      </c>
      <c r="G88" s="16">
        <f t="shared" si="21"/>
        <v>0.53204085365729081</v>
      </c>
      <c r="H88" s="20">
        <v>0.13900000000000001</v>
      </c>
      <c r="I88" s="120">
        <v>6.72</v>
      </c>
      <c r="J88" s="16">
        <f t="shared" si="27"/>
        <v>0.99976100191055051</v>
      </c>
      <c r="K88" s="17">
        <f t="shared" si="22"/>
        <v>1.0345370801427778E-2</v>
      </c>
      <c r="L88" s="18">
        <f t="shared" si="23"/>
        <v>1.4034468561693732E-7</v>
      </c>
      <c r="M88" s="18">
        <f t="shared" si="20"/>
        <v>1.402349786827275E-5</v>
      </c>
      <c r="N88" s="18">
        <f t="shared" si="24"/>
        <v>1.4163842553889687E-5</v>
      </c>
      <c r="O88" s="19">
        <f t="shared" si="25"/>
        <v>1.2642101257814843E-8</v>
      </c>
      <c r="P88" s="74">
        <f t="shared" si="28"/>
        <v>6.9604837969152208E-14</v>
      </c>
      <c r="T88" s="122"/>
      <c r="U88" s="67"/>
    </row>
    <row r="89" spans="2:21">
      <c r="B89" s="15">
        <v>59.424242399999997</v>
      </c>
      <c r="C89" s="60">
        <v>330</v>
      </c>
      <c r="D89" s="16">
        <v>3.66</v>
      </c>
      <c r="E89" s="120">
        <v>5.1459999999999999</v>
      </c>
      <c r="F89" s="16">
        <f t="shared" si="26"/>
        <v>1.454130990738962E-5</v>
      </c>
      <c r="G89" s="16">
        <f t="shared" si="21"/>
        <v>0.54368241421562258</v>
      </c>
      <c r="H89" s="20">
        <v>0.13300000000000001</v>
      </c>
      <c r="I89" s="120">
        <v>6.476</v>
      </c>
      <c r="J89" s="16">
        <f t="shared" si="27"/>
        <v>0.99967647203414978</v>
      </c>
      <c r="K89" s="17">
        <f t="shared" si="22"/>
        <v>1.0015738465171911E-2</v>
      </c>
      <c r="L89" s="18">
        <f t="shared" si="23"/>
        <v>1.409470920241499E-7</v>
      </c>
      <c r="M89" s="18">
        <f t="shared" si="20"/>
        <v>1.3937900697477965E-5</v>
      </c>
      <c r="N89" s="18">
        <f t="shared" si="24"/>
        <v>1.4078847789502115E-5</v>
      </c>
      <c r="O89" s="19">
        <f t="shared" si="25"/>
        <v>1.2519718599057117E-8</v>
      </c>
      <c r="P89" s="74">
        <f t="shared" si="28"/>
        <v>7.0832480218303076E-14</v>
      </c>
      <c r="T89" s="122"/>
      <c r="U89" s="67"/>
    </row>
    <row r="90" spans="2:21">
      <c r="B90" s="15">
        <v>60.2272727</v>
      </c>
      <c r="C90" s="60">
        <v>330</v>
      </c>
      <c r="D90" s="16">
        <v>3.53</v>
      </c>
      <c r="E90" s="120">
        <v>4.97</v>
      </c>
      <c r="F90" s="16">
        <f t="shared" si="26"/>
        <v>2.1283785910219288E-5</v>
      </c>
      <c r="G90" s="16">
        <f t="shared" si="21"/>
        <v>0.55557870320561842</v>
      </c>
      <c r="H90" s="20">
        <v>0.127</v>
      </c>
      <c r="I90" s="120">
        <v>6.2409999999999997</v>
      </c>
      <c r="J90" s="16">
        <f t="shared" si="27"/>
        <v>0.99956690566935291</v>
      </c>
      <c r="K90" s="17">
        <f t="shared" si="22"/>
        <v>9.7008248117069953E-3</v>
      </c>
      <c r="L90" s="18">
        <f t="shared" si="23"/>
        <v>1.4238175305236126E-7</v>
      </c>
      <c r="M90" s="18">
        <f t="shared" si="20"/>
        <v>1.3853964529264408E-5</v>
      </c>
      <c r="N90" s="18">
        <f t="shared" si="24"/>
        <v>1.399634628231677E-5</v>
      </c>
      <c r="O90" s="19">
        <f>100*$O$5*SQRT(N90)/(C90*J90*SQRT(($O$4*B90)*$O$6))/$L$5</f>
        <v>1.2400842176047886E-8</v>
      </c>
      <c r="P90" s="74">
        <f t="shared" si="28"/>
        <v>7.2068942431486711E-14</v>
      </c>
      <c r="T90" s="122"/>
      <c r="U90" s="67"/>
    </row>
    <row r="91" spans="2:21">
      <c r="B91" s="15">
        <v>61.030303000000004</v>
      </c>
      <c r="C91" s="71">
        <v>320.8</v>
      </c>
      <c r="D91" s="16">
        <v>3.42</v>
      </c>
      <c r="E91" s="120">
        <v>4.8040000000000003</v>
      </c>
      <c r="F91" s="16">
        <f t="shared" si="26"/>
        <v>3.0485542595286718E-5</v>
      </c>
      <c r="G91" s="16">
        <f t="shared" si="21"/>
        <v>0.56584788008666109</v>
      </c>
      <c r="H91" s="20">
        <v>0.122</v>
      </c>
      <c r="I91" s="120">
        <v>6.0209999999999999</v>
      </c>
      <c r="J91" s="16">
        <f t="shared" si="27"/>
        <v>0.99943094302668412</v>
      </c>
      <c r="K91" s="17">
        <f t="shared" si="22"/>
        <v>9.3997893031665201E-3</v>
      </c>
      <c r="L91" s="18">
        <f t="shared" si="23"/>
        <v>1.443394287813007E-7</v>
      </c>
      <c r="M91" s="18">
        <f t="shared" ref="M91:M115" si="29">$K$120*0.000084*(B91/10)^(-0.45)</f>
        <v>1.3771635622194104E-5</v>
      </c>
      <c r="N91" s="18">
        <f t="shared" si="24"/>
        <v>1.3915975050975405E-5</v>
      </c>
      <c r="O91" s="19">
        <f t="shared" ref="O91:O114" si="30">100*$O$5*SQRT(N91)/(C91*J91*SQRT(($O$4*B91)*$O$6))/$L$5</f>
        <v>1.2637557799888215E-8</v>
      </c>
      <c r="P91" s="74">
        <f t="shared" si="28"/>
        <v>7.5416223552304328E-14</v>
      </c>
      <c r="T91" s="122"/>
      <c r="U91" s="67"/>
    </row>
    <row r="92" spans="2:21">
      <c r="B92" s="15">
        <v>61.8333333</v>
      </c>
      <c r="C92" s="71">
        <v>311.60000000000002</v>
      </c>
      <c r="D92" s="16">
        <v>3.3</v>
      </c>
      <c r="E92" s="120">
        <v>4.6459999999999999</v>
      </c>
      <c r="F92" s="16">
        <f t="shared" si="26"/>
        <v>4.2915950268529167E-5</v>
      </c>
      <c r="G92" s="16">
        <f t="shared" si="21"/>
        <v>0.57726722005585529</v>
      </c>
      <c r="H92" s="20">
        <v>0.11700000000000001</v>
      </c>
      <c r="I92" s="120">
        <v>5.8109999999999999</v>
      </c>
      <c r="J92" s="16">
        <f t="shared" si="27"/>
        <v>0.99926151147916009</v>
      </c>
      <c r="K92" s="17">
        <f t="shared" si="22"/>
        <v>9.1118496012490956E-3</v>
      </c>
      <c r="L92" s="18">
        <f t="shared" si="23"/>
        <v>1.4771653933170969E-7</v>
      </c>
      <c r="M92" s="18">
        <f t="shared" si="29"/>
        <v>1.3690862651440797E-5</v>
      </c>
      <c r="N92" s="18">
        <f t="shared" si="24"/>
        <v>1.3838579190772507E-5</v>
      </c>
      <c r="O92" s="19">
        <f t="shared" si="30"/>
        <v>1.2892111749690666E-8</v>
      </c>
      <c r="P92" s="74">
        <f t="shared" si="28"/>
        <v>7.8973239567977044E-14</v>
      </c>
      <c r="T92" s="122"/>
      <c r="U92" s="67"/>
    </row>
    <row r="93" spans="2:21">
      <c r="B93" s="15">
        <v>62.636363600000003</v>
      </c>
      <c r="C93" s="71">
        <v>302.40000000000003</v>
      </c>
      <c r="D93" s="16">
        <v>3.2</v>
      </c>
      <c r="E93" s="120">
        <v>4.4930000000000003</v>
      </c>
      <c r="F93" s="16">
        <f t="shared" si="26"/>
        <v>5.9764513074674325E-5</v>
      </c>
      <c r="G93" s="16">
        <f t="shared" si="21"/>
        <v>0.58695918094273414</v>
      </c>
      <c r="H93" s="20">
        <v>0.112</v>
      </c>
      <c r="I93" s="120">
        <v>5.6079999999999997</v>
      </c>
      <c r="J93" s="16">
        <f t="shared" si="27"/>
        <v>0.99904991585157221</v>
      </c>
      <c r="K93" s="17">
        <f t="shared" si="22"/>
        <v>8.8362768492090266E-3</v>
      </c>
      <c r="L93" s="18">
        <f t="shared" si="23"/>
        <v>1.5223961767328887E-7</v>
      </c>
      <c r="M93" s="18">
        <f t="shared" si="29"/>
        <v>1.3611596570425449E-5</v>
      </c>
      <c r="N93" s="18">
        <f t="shared" si="24"/>
        <v>1.3763836188098738E-5</v>
      </c>
      <c r="O93" s="19">
        <f t="shared" si="30"/>
        <v>1.3165997041348736E-8</v>
      </c>
      <c r="P93" s="74">
        <f t="shared" si="28"/>
        <v>8.2759412771561663E-14</v>
      </c>
      <c r="T93" s="122"/>
      <c r="U93" s="67"/>
    </row>
    <row r="94" spans="2:21">
      <c r="B94" s="15">
        <v>63.439393899999999</v>
      </c>
      <c r="C94" s="71">
        <v>293.20000000000005</v>
      </c>
      <c r="D94" s="16">
        <v>3.09</v>
      </c>
      <c r="E94" s="120">
        <v>4.3490000000000002</v>
      </c>
      <c r="F94" s="16">
        <f t="shared" si="26"/>
        <v>8.1622099945281081E-5</v>
      </c>
      <c r="G94" s="16">
        <f t="shared" si="21"/>
        <v>0.5978083866741174</v>
      </c>
      <c r="H94" s="20">
        <v>0.108</v>
      </c>
      <c r="I94" s="120">
        <v>5.4169999999999998</v>
      </c>
      <c r="J94" s="16">
        <f t="shared" si="27"/>
        <v>0.99879580020118097</v>
      </c>
      <c r="K94" s="17">
        <f t="shared" si="22"/>
        <v>8.5723913907065543E-3</v>
      </c>
      <c r="L94" s="18">
        <f t="shared" si="23"/>
        <v>1.5864256894509424E-7</v>
      </c>
      <c r="M94" s="18">
        <f t="shared" si="29"/>
        <v>1.353379048203097E-5</v>
      </c>
      <c r="N94" s="18">
        <f t="shared" si="24"/>
        <v>1.3692433050976064E-5</v>
      </c>
      <c r="O94" s="19">
        <f t="shared" si="30"/>
        <v>1.3461280539025093E-8</v>
      </c>
      <c r="P94" s="74">
        <f t="shared" si="28"/>
        <v>8.6799055542573841E-14</v>
      </c>
      <c r="T94" s="122"/>
      <c r="U94" s="67"/>
    </row>
    <row r="95" spans="2:21">
      <c r="B95" s="15">
        <v>64.242424200000002</v>
      </c>
      <c r="C95" s="71">
        <v>284.00000000000006</v>
      </c>
      <c r="D95" s="16">
        <v>3</v>
      </c>
      <c r="E95" s="120">
        <v>4.2119999999999997</v>
      </c>
      <c r="F95" s="16">
        <f t="shared" si="26"/>
        <v>1.0979736800354121E-4</v>
      </c>
      <c r="G95" s="16">
        <f t="shared" si="21"/>
        <v>0.60683400087145989</v>
      </c>
      <c r="H95" s="20">
        <v>0.104</v>
      </c>
      <c r="I95" s="120">
        <v>5.234</v>
      </c>
      <c r="J95" s="16">
        <f t="shared" si="27"/>
        <v>0.99848878301133115</v>
      </c>
      <c r="K95" s="17">
        <f t="shared" si="22"/>
        <v>8.3195588801565391E-3</v>
      </c>
      <c r="L95" s="18">
        <f t="shared" si="23"/>
        <v>1.6664168950488159E-7</v>
      </c>
      <c r="M95" s="18">
        <f t="shared" si="29"/>
        <v>1.3457399518621126E-5</v>
      </c>
      <c r="N95" s="18">
        <f t="shared" si="24"/>
        <v>1.3624041208126008E-5</v>
      </c>
      <c r="O95" s="19">
        <f t="shared" si="30"/>
        <v>1.3779921123731075E-8</v>
      </c>
      <c r="P95" s="74">
        <f t="shared" si="28"/>
        <v>9.1117364049401564E-14</v>
      </c>
      <c r="T95" s="122"/>
      <c r="U95" s="67"/>
    </row>
    <row r="96" spans="2:21">
      <c r="B96" s="15">
        <v>65.045454500000005</v>
      </c>
      <c r="C96" s="71">
        <v>274.80000000000007</v>
      </c>
      <c r="D96" s="16">
        <v>2.9</v>
      </c>
      <c r="E96" s="120">
        <v>4.0789999999999997</v>
      </c>
      <c r="F96" s="16">
        <f t="shared" si="26"/>
        <v>1.4642524979956872E-4</v>
      </c>
      <c r="G96" s="16">
        <f t="shared" si="21"/>
        <v>0.61702236978786107</v>
      </c>
      <c r="H96" s="20">
        <v>9.9500000000000005E-2</v>
      </c>
      <c r="I96" s="120">
        <v>5.0579999999999998</v>
      </c>
      <c r="J96" s="16">
        <f t="shared" si="27"/>
        <v>0.99811983830902351</v>
      </c>
      <c r="K96" s="17">
        <f t="shared" si="22"/>
        <v>8.077186744420815E-3</v>
      </c>
      <c r="L96" s="18">
        <f t="shared" si="23"/>
        <v>1.7747608605038389E-7</v>
      </c>
      <c r="M96" s="18">
        <f t="shared" si="29"/>
        <v>1.3382380730160137E-5</v>
      </c>
      <c r="N96" s="18">
        <f t="shared" si="24"/>
        <v>1.3559856816210521E-5</v>
      </c>
      <c r="O96" s="19">
        <f t="shared" si="30"/>
        <v>1.4124917105750676E-8</v>
      </c>
      <c r="P96" s="74">
        <f t="shared" si="28"/>
        <v>9.5748149077623201E-14</v>
      </c>
      <c r="T96" s="122"/>
      <c r="U96" s="67"/>
    </row>
    <row r="97" spans="2:25">
      <c r="B97" s="15">
        <v>65.848484799999994</v>
      </c>
      <c r="C97" s="71">
        <v>265.60000000000008</v>
      </c>
      <c r="D97" s="16">
        <v>2.81</v>
      </c>
      <c r="E97" s="120">
        <v>3.9540000000000002</v>
      </c>
      <c r="F97" s="16">
        <f t="shared" si="26"/>
        <v>1.9191979645605779E-4</v>
      </c>
      <c r="G97" s="16">
        <f t="shared" si="21"/>
        <v>0.62633807359024174</v>
      </c>
      <c r="H97" s="20">
        <v>9.5600000000000004E-2</v>
      </c>
      <c r="I97" s="120">
        <v>4.8920000000000003</v>
      </c>
      <c r="J97" s="16">
        <f t="shared" si="27"/>
        <v>0.99768970948895797</v>
      </c>
      <c r="K97" s="17">
        <f t="shared" si="22"/>
        <v>7.844720960244413E-3</v>
      </c>
      <c r="L97" s="18">
        <f t="shared" si="23"/>
        <v>1.9064047761218449E-7</v>
      </c>
      <c r="M97" s="18">
        <f t="shared" si="29"/>
        <v>1.3308692979793578E-5</v>
      </c>
      <c r="N97" s="18">
        <f t="shared" si="24"/>
        <v>1.3499333457405762E-5</v>
      </c>
      <c r="O97" s="19">
        <f t="shared" si="30"/>
        <v>1.4498596194404001E-8</v>
      </c>
      <c r="P97" s="74">
        <f t="shared" si="28"/>
        <v>1.0072287203440925E-13</v>
      </c>
      <c r="T97" s="122"/>
      <c r="U97" s="67"/>
    </row>
    <row r="98" spans="2:25">
      <c r="B98" s="15">
        <v>66.651515200000006</v>
      </c>
      <c r="C98" s="71">
        <v>256.40000000000009</v>
      </c>
      <c r="D98" s="16">
        <v>2.73</v>
      </c>
      <c r="E98" s="120">
        <v>3.8340000000000001</v>
      </c>
      <c r="F98" s="16">
        <f t="shared" si="26"/>
        <v>2.4884185095779948E-4</v>
      </c>
      <c r="G98" s="16">
        <f t="shared" si="21"/>
        <v>0.63473670745690147</v>
      </c>
      <c r="H98" s="20">
        <v>9.1999999999999998E-2</v>
      </c>
      <c r="I98" s="120">
        <v>4.7329999999999997</v>
      </c>
      <c r="J98" s="16">
        <f t="shared" si="27"/>
        <v>0.99718575145572852</v>
      </c>
      <c r="K98" s="17">
        <f t="shared" si="22"/>
        <v>7.6216430886094895E-3</v>
      </c>
      <c r="L98" s="18">
        <f t="shared" si="23"/>
        <v>2.0680692811772065E-7</v>
      </c>
      <c r="M98" s="18">
        <f t="shared" si="29"/>
        <v>1.3236296837372296E-5</v>
      </c>
      <c r="N98" s="18">
        <f t="shared" si="24"/>
        <v>1.3443103765490015E-5</v>
      </c>
      <c r="O98" s="19">
        <f t="shared" si="30"/>
        <v>1.4904483311610951E-8</v>
      </c>
      <c r="P98" s="74">
        <f t="shared" si="28"/>
        <v>1.0608342988154191E-13</v>
      </c>
      <c r="T98" s="122"/>
      <c r="U98" s="67"/>
    </row>
    <row r="99" spans="2:25">
      <c r="B99" s="15">
        <v>67.454545499999995</v>
      </c>
      <c r="C99" s="71">
        <v>247.2000000000001</v>
      </c>
      <c r="D99" s="16">
        <v>11.8</v>
      </c>
      <c r="E99" s="120">
        <v>3.7189999999999999</v>
      </c>
      <c r="F99" s="16">
        <f t="shared" si="26"/>
        <v>3.1917356890481097E-4</v>
      </c>
      <c r="G99" s="16">
        <f t="shared" si="21"/>
        <v>0.14019793968944574</v>
      </c>
      <c r="H99" s="20">
        <v>8.8499999999999995E-2</v>
      </c>
      <c r="I99" s="120">
        <v>4.5810000000000004</v>
      </c>
      <c r="J99" s="16">
        <f t="shared" si="27"/>
        <v>0.99660150468592479</v>
      </c>
      <c r="K99" s="17">
        <f t="shared" si="22"/>
        <v>7.4074677022688586E-3</v>
      </c>
      <c r="L99" s="18">
        <f t="shared" si="23"/>
        <v>1.3481198838651708E-7</v>
      </c>
      <c r="M99" s="18">
        <f t="shared" si="29"/>
        <v>1.3165154524162348E-5</v>
      </c>
      <c r="N99" s="18">
        <f t="shared" si="24"/>
        <v>1.3299966512548866E-5</v>
      </c>
      <c r="O99" s="19">
        <f t="shared" si="30"/>
        <v>1.5293817616548899E-8</v>
      </c>
      <c r="P99" s="74">
        <f t="shared" si="28"/>
        <v>1.1149333899611589E-13</v>
      </c>
      <c r="T99" s="122"/>
      <c r="U99" s="67"/>
    </row>
    <row r="100" spans="2:25">
      <c r="B100" s="15">
        <v>68.257575799999998</v>
      </c>
      <c r="C100" s="71">
        <v>238.00000000000011</v>
      </c>
      <c r="D100" s="16">
        <v>11.4</v>
      </c>
      <c r="E100" s="120">
        <v>3.6080000000000001</v>
      </c>
      <c r="F100" s="16">
        <f t="shared" si="26"/>
        <v>4.058544338368842E-4</v>
      </c>
      <c r="G100" s="16">
        <f t="shared" si="21"/>
        <v>0.14985306974157883</v>
      </c>
      <c r="H100" s="20">
        <v>8.5199999999999998E-2</v>
      </c>
      <c r="I100" s="120">
        <v>4.4340000000000002</v>
      </c>
      <c r="J100" s="16">
        <f t="shared" si="27"/>
        <v>0.99592136946460652</v>
      </c>
      <c r="K100" s="17">
        <f t="shared" si="22"/>
        <v>7.201739767740618E-3</v>
      </c>
      <c r="L100" s="18">
        <f t="shared" si="23"/>
        <v>1.6152983112198573E-7</v>
      </c>
      <c r="M100" s="18">
        <f t="shared" si="29"/>
        <v>1.3095229773435936E-5</v>
      </c>
      <c r="N100" s="18">
        <f t="shared" si="24"/>
        <v>1.3256759604557921E-5</v>
      </c>
      <c r="O100" s="19">
        <f t="shared" si="30"/>
        <v>1.5776385160979811E-8</v>
      </c>
      <c r="P100" s="74">
        <f t="shared" si="28"/>
        <v>1.1776596492075169E-13</v>
      </c>
      <c r="T100" s="122"/>
      <c r="U100" s="67"/>
    </row>
    <row r="101" spans="2:25">
      <c r="B101" s="15">
        <v>69.060606100000001</v>
      </c>
      <c r="C101" s="71">
        <v>228.80000000000013</v>
      </c>
      <c r="D101" s="16">
        <v>11.1</v>
      </c>
      <c r="E101" s="120">
        <v>3.5019999999999998</v>
      </c>
      <c r="F101" s="16">
        <f t="shared" si="26"/>
        <v>5.1052089027096869E-4</v>
      </c>
      <c r="G101" s="16">
        <f t="shared" si="21"/>
        <v>0.1575283243094133</v>
      </c>
      <c r="H101" s="20">
        <v>8.2100000000000006E-2</v>
      </c>
      <c r="I101" s="120">
        <v>4.2949999999999999</v>
      </c>
      <c r="J101" s="16">
        <f t="shared" si="27"/>
        <v>0.99515348069135234</v>
      </c>
      <c r="K101" s="17">
        <f t="shared" si="22"/>
        <v>7.0040325147668614E-3</v>
      </c>
      <c r="L101" s="18">
        <f t="shared" si="23"/>
        <v>1.9214035467284566E-7</v>
      </c>
      <c r="M101" s="18">
        <f t="shared" si="29"/>
        <v>1.3026487786788899E-5</v>
      </c>
      <c r="N101" s="18">
        <f t="shared" si="24"/>
        <v>1.3218628141461745E-5</v>
      </c>
      <c r="O101" s="19">
        <f t="shared" si="30"/>
        <v>1.6304149979441312E-8</v>
      </c>
      <c r="P101" s="74">
        <f t="shared" si="28"/>
        <v>1.2458607590778701E-13</v>
      </c>
      <c r="T101" s="122"/>
      <c r="U101" s="67"/>
    </row>
    <row r="102" spans="2:25">
      <c r="B102" s="15">
        <v>69.863636400000004</v>
      </c>
      <c r="C102" s="71">
        <v>219.60000000000014</v>
      </c>
      <c r="D102" s="16">
        <v>10.8</v>
      </c>
      <c r="E102" s="120">
        <v>3.4020000000000001</v>
      </c>
      <c r="F102" s="16">
        <f t="shared" si="26"/>
        <v>6.338938795184938E-4</v>
      </c>
      <c r="G102" s="16">
        <f t="shared" si="21"/>
        <v>0.16559669416532716</v>
      </c>
      <c r="H102" s="20">
        <v>7.9100000000000004E-2</v>
      </c>
      <c r="I102" s="120">
        <v>4.1619999999999999</v>
      </c>
      <c r="J102" s="16">
        <f t="shared" si="27"/>
        <v>0.99428373409169979</v>
      </c>
      <c r="K102" s="17">
        <f t="shared" si="22"/>
        <v>6.8139453539306782E-3</v>
      </c>
      <c r="L102" s="18">
        <f t="shared" si="23"/>
        <v>2.2689156567746794E-7</v>
      </c>
      <c r="M102" s="18">
        <f t="shared" si="29"/>
        <v>1.29588951501678E-5</v>
      </c>
      <c r="N102" s="18">
        <f t="shared" si="24"/>
        <v>1.3185786715845267E-5</v>
      </c>
      <c r="O102" s="19">
        <f t="shared" si="30"/>
        <v>1.6883053925265483E-8</v>
      </c>
      <c r="P102" s="74">
        <f t="shared" si="28"/>
        <v>1.3202736499200136E-13</v>
      </c>
      <c r="T102" s="122"/>
      <c r="U102" s="67"/>
    </row>
    <row r="103" spans="2:25">
      <c r="B103" s="15">
        <v>70.666666699999993</v>
      </c>
      <c r="C103" s="71">
        <v>210.40000000000015</v>
      </c>
      <c r="D103" s="16">
        <v>10.4</v>
      </c>
      <c r="E103" s="120">
        <v>3.3039999999999998</v>
      </c>
      <c r="F103" s="16">
        <f t="shared" si="26"/>
        <v>7.8368139824347351E-4</v>
      </c>
      <c r="G103" s="16">
        <f t="shared" si="21"/>
        <v>0.17700098171699299</v>
      </c>
      <c r="H103" s="20">
        <v>7.6300000000000007E-2</v>
      </c>
      <c r="I103" s="120">
        <v>4.0330000000000004</v>
      </c>
      <c r="J103" s="16">
        <f t="shared" si="27"/>
        <v>0.9932913228937067</v>
      </c>
      <c r="K103" s="17">
        <f t="shared" si="22"/>
        <v>6.6311019935231296E-3</v>
      </c>
      <c r="L103" s="18">
        <f t="shared" si="23"/>
        <v>2.6821482722448536E-7</v>
      </c>
      <c r="M103" s="18">
        <f t="shared" si="29"/>
        <v>1.2892419763644037E-5</v>
      </c>
      <c r="N103" s="18">
        <f t="shared" si="24"/>
        <v>1.3160634590868522E-5</v>
      </c>
      <c r="O103" s="19">
        <f t="shared" si="30"/>
        <v>1.7521649292641747E-8</v>
      </c>
      <c r="P103" s="74">
        <f t="shared" si="28"/>
        <v>1.4018926877837975E-13</v>
      </c>
      <c r="T103" s="122"/>
      <c r="U103" s="67"/>
    </row>
    <row r="104" spans="2:25">
      <c r="B104" s="15">
        <v>71.469696999999996</v>
      </c>
      <c r="C104" s="71">
        <v>201.20000000000016</v>
      </c>
      <c r="D104" s="16">
        <v>10.1</v>
      </c>
      <c r="E104" s="120">
        <v>3.2109999999999999</v>
      </c>
      <c r="F104" s="16">
        <f t="shared" si="26"/>
        <v>9.5843434066522149E-4</v>
      </c>
      <c r="G104" s="16">
        <f t="shared" si="21"/>
        <v>0.18606671254104151</v>
      </c>
      <c r="H104" s="20">
        <v>7.3499999999999996E-2</v>
      </c>
      <c r="I104" s="120">
        <v>3.911</v>
      </c>
      <c r="J104" s="16">
        <f t="shared" si="27"/>
        <v>0.99219466262146838</v>
      </c>
      <c r="K104" s="17">
        <f t="shared" si="22"/>
        <v>6.4551487113414813E-3</v>
      </c>
      <c r="L104" s="18">
        <f t="shared" si="23"/>
        <v>3.1417724544332231E-7</v>
      </c>
      <c r="M104" s="18">
        <f t="shared" si="29"/>
        <v>1.2827030775501787E-5</v>
      </c>
      <c r="N104" s="18">
        <f t="shared" si="24"/>
        <v>1.314120802094511E-5</v>
      </c>
      <c r="O104" s="19">
        <f t="shared" si="30"/>
        <v>1.8226280929410227E-8</v>
      </c>
      <c r="P104" s="74">
        <f t="shared" si="28"/>
        <v>1.4916004853189259E-13</v>
      </c>
      <c r="R104" s="16"/>
      <c r="S104" s="121"/>
      <c r="T104" s="123"/>
      <c r="U104" s="18"/>
      <c r="V104" s="16"/>
      <c r="W104" s="18"/>
      <c r="X104" s="14"/>
      <c r="Y104" s="14"/>
    </row>
    <row r="105" spans="2:25">
      <c r="B105" s="15">
        <v>72.2727273</v>
      </c>
      <c r="C105" s="71">
        <v>192.00000000000017</v>
      </c>
      <c r="D105" s="16">
        <v>9.85</v>
      </c>
      <c r="E105" s="120">
        <v>3.1219999999999999</v>
      </c>
      <c r="F105" s="16">
        <f t="shared" si="26"/>
        <v>1.1620506881874254E-3</v>
      </c>
      <c r="G105" s="16">
        <f t="shared" si="21"/>
        <v>0.19397519285045295</v>
      </c>
      <c r="H105" s="20">
        <v>7.0999999999999994E-2</v>
      </c>
      <c r="I105" s="120">
        <v>3.7930000000000001</v>
      </c>
      <c r="J105" s="16">
        <f t="shared" si="27"/>
        <v>0.99096378602158552</v>
      </c>
      <c r="K105" s="17">
        <f t="shared" si="22"/>
        <v>6.2857527671046874E-3</v>
      </c>
      <c r="L105" s="18">
        <f t="shared" si="23"/>
        <v>3.6562179977238015E-7</v>
      </c>
      <c r="M105" s="18">
        <f t="shared" si="29"/>
        <v>1.2762698520329726E-5</v>
      </c>
      <c r="N105" s="18">
        <f t="shared" si="24"/>
        <v>1.3128320320102107E-5</v>
      </c>
      <c r="O105" s="19">
        <f t="shared" si="30"/>
        <v>1.9007482361739824E-8</v>
      </c>
      <c r="P105" s="74">
        <f t="shared" si="28"/>
        <v>1.5906845311708778E-13</v>
      </c>
      <c r="R105" s="16"/>
      <c r="S105" s="121"/>
      <c r="T105" s="123"/>
      <c r="U105" s="18"/>
      <c r="V105" s="16"/>
      <c r="W105" s="18"/>
      <c r="X105" s="14"/>
      <c r="Y105" s="14"/>
    </row>
    <row r="106" spans="2:25">
      <c r="B106" s="15">
        <v>73.075757600000003</v>
      </c>
      <c r="C106" s="71">
        <v>182.80000000000018</v>
      </c>
      <c r="D106" s="16">
        <v>9.58</v>
      </c>
      <c r="E106" s="120">
        <v>3.0350000000000001</v>
      </c>
      <c r="F106" s="16">
        <f t="shared" si="26"/>
        <v>1.4028386332206777E-3</v>
      </c>
      <c r="G106" s="16">
        <f t="shared" si="21"/>
        <v>0.20289432540266322</v>
      </c>
      <c r="H106" s="20">
        <v>6.8500000000000005E-2</v>
      </c>
      <c r="I106" s="120">
        <v>3.68</v>
      </c>
      <c r="J106" s="16">
        <f t="shared" si="27"/>
        <v>0.98960346290586509</v>
      </c>
      <c r="K106" s="17">
        <f t="shared" si="22"/>
        <v>6.1226009426359205E-3</v>
      </c>
      <c r="L106" s="18">
        <f t="shared" si="23"/>
        <v>4.2467794139052005E-7</v>
      </c>
      <c r="M106" s="18">
        <f t="shared" si="29"/>
        <v>1.2699394460831735E-5</v>
      </c>
      <c r="N106" s="18">
        <f t="shared" si="24"/>
        <v>1.3124072402222255E-5</v>
      </c>
      <c r="O106" s="19">
        <f t="shared" si="30"/>
        <v>1.98781743761555E-8</v>
      </c>
      <c r="P106" s="74">
        <f t="shared" si="28"/>
        <v>1.7007235417079812E-13</v>
      </c>
      <c r="R106" s="16"/>
      <c r="S106" s="121"/>
      <c r="T106" s="123"/>
      <c r="U106" s="18"/>
      <c r="V106" s="16"/>
      <c r="W106" s="18"/>
      <c r="X106" s="14"/>
      <c r="Y106" s="14"/>
    </row>
    <row r="107" spans="2:25">
      <c r="B107" s="15">
        <v>73.878787900000006</v>
      </c>
      <c r="C107" s="71">
        <v>173.60000000000019</v>
      </c>
      <c r="D107" s="16">
        <v>9.31</v>
      </c>
      <c r="E107" s="120">
        <v>2.9529999999999998</v>
      </c>
      <c r="F107" s="16">
        <f t="shared" si="26"/>
        <v>1.6752908282012058E-3</v>
      </c>
      <c r="G107" s="16">
        <f t="shared" si="21"/>
        <v>0.21222356671318893</v>
      </c>
      <c r="H107" s="20">
        <v>6.6100000000000006E-2</v>
      </c>
      <c r="I107" s="120">
        <v>3.5720000000000001</v>
      </c>
      <c r="J107" s="16">
        <f t="shared" si="27"/>
        <v>0.98811234128761294</v>
      </c>
      <c r="K107" s="17">
        <f t="shared" si="22"/>
        <v>5.9653981982626652E-3</v>
      </c>
      <c r="L107" s="18">
        <f t="shared" si="23"/>
        <v>4.8903673213096638E-7</v>
      </c>
      <c r="M107" s="18">
        <f t="shared" si="29"/>
        <v>1.2637091133095243E-5</v>
      </c>
      <c r="N107" s="18">
        <f t="shared" si="24"/>
        <v>1.3126127865226209E-5</v>
      </c>
      <c r="O107" s="19">
        <f t="shared" si="30"/>
        <v>2.0850603912669066E-8</v>
      </c>
      <c r="P107" s="74">
        <f t="shared" si="28"/>
        <v>1.8233445179295021E-13</v>
      </c>
      <c r="R107" s="16"/>
      <c r="S107" s="121"/>
      <c r="T107" s="123"/>
      <c r="U107" s="18"/>
      <c r="V107" s="16"/>
      <c r="W107" s="18"/>
      <c r="X107" s="14"/>
      <c r="Y107" s="14"/>
    </row>
    <row r="108" spans="2:25">
      <c r="B108" s="15">
        <v>74.681818199999995</v>
      </c>
      <c r="C108" s="71">
        <v>164.4000000000002</v>
      </c>
      <c r="D108" s="16">
        <v>9.0500000000000007</v>
      </c>
      <c r="E108" s="120">
        <v>2.8740000000000001</v>
      </c>
      <c r="F108" s="16">
        <f t="shared" si="26"/>
        <v>1.9877081248749653E-3</v>
      </c>
      <c r="G108" s="16">
        <f t="shared" si="21"/>
        <v>0.22161248177406531</v>
      </c>
      <c r="H108" s="20">
        <v>6.3899999999999998E-2</v>
      </c>
      <c r="I108" s="120">
        <v>3.468</v>
      </c>
      <c r="J108" s="16">
        <f t="shared" si="27"/>
        <v>0.98647473011608167</v>
      </c>
      <c r="K108" s="17">
        <f t="shared" si="22"/>
        <v>5.8138664350405383E-3</v>
      </c>
      <c r="L108" s="18">
        <f t="shared" si="23"/>
        <v>5.6030982004158498E-7</v>
      </c>
      <c r="M108" s="18">
        <f t="shared" si="29"/>
        <v>1.2575762095076509E-5</v>
      </c>
      <c r="N108" s="18">
        <f t="shared" si="24"/>
        <v>1.3136071915118094E-5</v>
      </c>
      <c r="O108" s="19">
        <f t="shared" si="30"/>
        <v>2.1943393322440495E-8</v>
      </c>
      <c r="P108" s="74">
        <f t="shared" si="28"/>
        <v>1.9608488930586579E-13</v>
      </c>
      <c r="R108" s="16"/>
      <c r="S108" s="121"/>
      <c r="T108" s="123"/>
      <c r="U108" s="18"/>
      <c r="V108" s="16"/>
      <c r="W108" s="18"/>
      <c r="X108" s="14"/>
      <c r="Y108" s="14"/>
    </row>
    <row r="109" spans="2:25">
      <c r="B109" s="15">
        <v>75.484848499999998</v>
      </c>
      <c r="C109" s="71">
        <v>155.20000000000022</v>
      </c>
      <c r="D109" s="16">
        <v>8.81</v>
      </c>
      <c r="E109" s="120">
        <v>2.798</v>
      </c>
      <c r="F109" s="16">
        <f t="shared" si="26"/>
        <v>2.3431221190688919E-3</v>
      </c>
      <c r="G109" s="16">
        <f t="shared" si="21"/>
        <v>0.23064743264413529</v>
      </c>
      <c r="H109" s="20">
        <v>6.1699999999999998E-2</v>
      </c>
      <c r="I109" s="120">
        <v>3.3690000000000002</v>
      </c>
      <c r="J109" s="16">
        <f t="shared" si="27"/>
        <v>0.98470663951502557</v>
      </c>
      <c r="K109" s="17">
        <f t="shared" si="22"/>
        <v>5.6677433534368955E-3</v>
      </c>
      <c r="L109" s="18">
        <f t="shared" si="23"/>
        <v>6.3855414659989702E-7</v>
      </c>
      <c r="M109" s="18">
        <f t="shared" si="29"/>
        <v>1.2515381878081589E-5</v>
      </c>
      <c r="N109" s="18">
        <f t="shared" si="24"/>
        <v>1.3153936024681486E-5</v>
      </c>
      <c r="O109" s="19">
        <f t="shared" si="30"/>
        <v>2.3177448985653224E-8</v>
      </c>
      <c r="P109" s="74">
        <f t="shared" si="28"/>
        <v>2.1159031426846004E-13</v>
      </c>
      <c r="R109" s="16"/>
      <c r="S109" s="121"/>
      <c r="T109" s="123"/>
      <c r="U109" s="18"/>
      <c r="V109" s="16"/>
      <c r="W109" s="18"/>
      <c r="X109" s="14"/>
      <c r="Y109" s="14"/>
    </row>
    <row r="110" spans="2:25">
      <c r="B110" s="15">
        <v>76.287878800000001</v>
      </c>
      <c r="C110" s="71">
        <v>146.00000000000023</v>
      </c>
      <c r="D110" s="16">
        <v>8.57</v>
      </c>
      <c r="E110" s="120">
        <v>2.7240000000000002</v>
      </c>
      <c r="F110" s="16">
        <f t="shared" si="26"/>
        <v>2.7501550144538888E-3</v>
      </c>
      <c r="G110" s="16">
        <f t="shared" si="21"/>
        <v>0.24005073071455749</v>
      </c>
      <c r="H110" s="20">
        <v>5.96E-2</v>
      </c>
      <c r="I110" s="120">
        <v>3.2719999999999998</v>
      </c>
      <c r="J110" s="16">
        <f t="shared" si="27"/>
        <v>0.98275032540947338</v>
      </c>
      <c r="K110" s="17">
        <f t="shared" si="22"/>
        <v>5.526781400027588E-3</v>
      </c>
      <c r="L110" s="18">
        <f t="shared" si="23"/>
        <v>7.2530697506626282E-7</v>
      </c>
      <c r="M110" s="18">
        <f t="shared" si="29"/>
        <v>1.2455925941038895E-5</v>
      </c>
      <c r="N110" s="18">
        <f t="shared" si="24"/>
        <v>1.3181232916105158E-5</v>
      </c>
      <c r="O110" s="19">
        <f t="shared" si="30"/>
        <v>2.4582182779887295E-8</v>
      </c>
      <c r="P110" s="74">
        <f t="shared" si="28"/>
        <v>2.2921450485597824E-13</v>
      </c>
      <c r="R110" s="16"/>
      <c r="S110" s="121"/>
      <c r="T110" s="123"/>
      <c r="U110" s="18"/>
      <c r="V110" s="16"/>
      <c r="W110" s="18"/>
      <c r="X110" s="14"/>
      <c r="Y110" s="14"/>
    </row>
    <row r="111" spans="2:25">
      <c r="B111" s="15">
        <v>77.090909100000005</v>
      </c>
      <c r="C111" s="71">
        <v>136.80000000000024</v>
      </c>
      <c r="D111" s="16">
        <v>8.34</v>
      </c>
      <c r="E111" s="120">
        <v>2.6539999999999999</v>
      </c>
      <c r="F111" s="16">
        <f t="shared" si="26"/>
        <v>3.2000687021021472E-3</v>
      </c>
      <c r="G111" s="16">
        <f t="shared" si="21"/>
        <v>0.24942176003582991</v>
      </c>
      <c r="H111" s="20">
        <v>5.7700000000000001E-2</v>
      </c>
      <c r="I111" s="120">
        <v>3.18</v>
      </c>
      <c r="J111" s="16">
        <f t="shared" si="27"/>
        <v>0.98066419073746591</v>
      </c>
      <c r="K111" s="17">
        <f t="shared" si="22"/>
        <v>5.3907467945800737E-3</v>
      </c>
      <c r="L111" s="18">
        <f t="shared" si="23"/>
        <v>8.1757505198857007E-7</v>
      </c>
      <c r="M111" s="18">
        <f t="shared" si="29"/>
        <v>1.2397370627375317E-5</v>
      </c>
      <c r="N111" s="18">
        <f t="shared" si="24"/>
        <v>1.3214945679363888E-5</v>
      </c>
      <c r="O111" s="19">
        <f t="shared" si="30"/>
        <v>2.6187313128136218E-8</v>
      </c>
      <c r="P111" s="74">
        <f t="shared" si="28"/>
        <v>2.4934912569731279E-13</v>
      </c>
      <c r="R111" s="16"/>
      <c r="S111" s="121"/>
      <c r="T111" s="123"/>
      <c r="U111" s="18"/>
      <c r="V111" s="16"/>
      <c r="W111" s="18"/>
      <c r="X111" s="14"/>
      <c r="Y111" s="14"/>
    </row>
    <row r="112" spans="2:25">
      <c r="B112" s="15">
        <v>77.893939399999994</v>
      </c>
      <c r="C112" s="71">
        <v>127.60000000000024</v>
      </c>
      <c r="D112" s="16">
        <v>8.1199999999999992</v>
      </c>
      <c r="E112" s="120">
        <v>2.5859999999999999</v>
      </c>
      <c r="F112" s="16">
        <f t="shared" si="26"/>
        <v>3.7075017942531708E-3</v>
      </c>
      <c r="G112" s="16">
        <f t="shared" si="21"/>
        <v>0.25872747275735014</v>
      </c>
      <c r="H112" s="20">
        <v>5.5800000000000002E-2</v>
      </c>
      <c r="I112" s="120">
        <v>3.0920000000000001</v>
      </c>
      <c r="J112" s="16">
        <f t="shared" si="27"/>
        <v>0.97843300193429472</v>
      </c>
      <c r="K112" s="17">
        <f t="shared" si="22"/>
        <v>5.25941863062784E-3</v>
      </c>
      <c r="L112" s="18">
        <f t="shared" si="23"/>
        <v>9.1823360759277239E-7</v>
      </c>
      <c r="M112" s="18">
        <f t="shared" si="29"/>
        <v>1.2339693124322226E-5</v>
      </c>
      <c r="N112" s="18">
        <f t="shared" si="24"/>
        <v>1.3257926731914998E-5</v>
      </c>
      <c r="O112" s="19">
        <f t="shared" si="30"/>
        <v>2.803951221370654E-8</v>
      </c>
      <c r="P112" s="74">
        <f t="shared" si="28"/>
        <v>2.7257647143095746E-13</v>
      </c>
      <c r="R112" s="16"/>
      <c r="S112" s="121"/>
      <c r="T112" s="123"/>
      <c r="U112" s="18"/>
      <c r="V112" s="16"/>
      <c r="W112" s="18"/>
      <c r="X112" s="14"/>
      <c r="Y112" s="14"/>
    </row>
    <row r="113" spans="2:25">
      <c r="B113" s="15">
        <v>78.696969699999997</v>
      </c>
      <c r="C113" s="71">
        <v>118.40000000000023</v>
      </c>
      <c r="D113" s="16">
        <v>7.91</v>
      </c>
      <c r="E113" s="120">
        <v>2.52</v>
      </c>
      <c r="F113" s="16">
        <f t="shared" si="26"/>
        <v>4.2768436773835475E-3</v>
      </c>
      <c r="G113" s="16">
        <f t="shared" si="21"/>
        <v>0.26793389214509289</v>
      </c>
      <c r="H113" s="20">
        <v>5.3999999999999999E-2</v>
      </c>
      <c r="I113" s="120">
        <v>3.0059999999999998</v>
      </c>
      <c r="J113" s="16">
        <f t="shared" si="27"/>
        <v>0.97600404489188386</v>
      </c>
      <c r="K113" s="17">
        <f t="shared" si="22"/>
        <v>5.1325880432966531E-3</v>
      </c>
      <c r="L113" s="18">
        <f t="shared" ref="L113:L115" si="31">K113*$N$10*J113*(G113*($D$10-$D$8)+MAX(G113*F113*($D$9-$D$10),0)+F113*$D$11+$D$12)</f>
        <v>1.0273975882537557E-6</v>
      </c>
      <c r="M113" s="18">
        <f t="shared" si="29"/>
        <v>1.228287142449101E-5</v>
      </c>
      <c r="N113" s="18">
        <f t="shared" si="24"/>
        <v>1.3310269012744765E-5</v>
      </c>
      <c r="O113" s="19">
        <f t="shared" si="30"/>
        <v>3.0197941533286393E-8</v>
      </c>
      <c r="P113" s="74">
        <f t="shared" si="28"/>
        <v>2.9964286007611843E-13</v>
      </c>
      <c r="R113" s="16"/>
      <c r="S113" s="121"/>
      <c r="T113" s="123"/>
      <c r="U113" s="18"/>
      <c r="V113" s="16"/>
      <c r="W113" s="18"/>
      <c r="X113" s="14"/>
      <c r="Y113" s="14"/>
    </row>
    <row r="114" spans="2:25">
      <c r="B114" s="15">
        <v>79.5</v>
      </c>
      <c r="C114" s="71">
        <v>109.20000000000023</v>
      </c>
      <c r="D114" s="16">
        <v>7.71</v>
      </c>
      <c r="E114" s="120">
        <v>2.4580000000000002</v>
      </c>
      <c r="F114" s="16">
        <f t="shared" si="26"/>
        <v>4.8910855806539874E-3</v>
      </c>
      <c r="G114" s="16">
        <f t="shared" si="21"/>
        <v>0.27700630813598587</v>
      </c>
      <c r="H114" s="20">
        <v>5.2200000000000003E-2</v>
      </c>
      <c r="I114" s="120">
        <v>2.9239999999999999</v>
      </c>
      <c r="J114" s="16">
        <f t="shared" si="27"/>
        <v>0.9734336260471308</v>
      </c>
      <c r="K114" s="17">
        <f t="shared" si="22"/>
        <v>5.0100574387299561E-3</v>
      </c>
      <c r="L114" s="18">
        <f t="shared" si="31"/>
        <v>1.1403851707937234E-6</v>
      </c>
      <c r="M114" s="18">
        <f t="shared" si="29"/>
        <v>1.2226884289569874E-5</v>
      </c>
      <c r="N114" s="18">
        <f t="shared" si="24"/>
        <v>1.3367269460363598E-5</v>
      </c>
      <c r="O114" s="19">
        <f t="shared" si="30"/>
        <v>3.2732189179309671E-8</v>
      </c>
      <c r="P114" s="74">
        <f t="shared" si="28"/>
        <v>3.3145142014136068E-13</v>
      </c>
      <c r="R114" s="16"/>
      <c r="S114" s="121"/>
      <c r="T114" s="123"/>
      <c r="U114" s="18"/>
      <c r="V114" s="16"/>
      <c r="W114" s="18"/>
      <c r="X114" s="14"/>
      <c r="Y114" s="14"/>
    </row>
    <row r="115" spans="2:25">
      <c r="B115" s="21">
        <v>80.303030300000003</v>
      </c>
      <c r="C115" s="61">
        <v>100</v>
      </c>
      <c r="D115" s="22">
        <v>7.51</v>
      </c>
      <c r="E115" s="22">
        <v>2.3969999999999998</v>
      </c>
      <c r="F115" s="22">
        <f t="shared" si="26"/>
        <v>5.5814510030702657E-3</v>
      </c>
      <c r="G115" s="22">
        <f t="shared" si="21"/>
        <v>0.28638592203772495</v>
      </c>
      <c r="H115" s="23">
        <v>5.0599999999999999E-2</v>
      </c>
      <c r="I115" s="22">
        <v>2.8450000000000002</v>
      </c>
      <c r="J115" s="22">
        <f t="shared" si="27"/>
        <v>0.97069734052460888</v>
      </c>
      <c r="K115" s="54">
        <f t="shared" si="22"/>
        <v>4.8916397799874346E-3</v>
      </c>
      <c r="L115" s="24">
        <f t="shared" si="31"/>
        <v>1.263582774606633E-6</v>
      </c>
      <c r="M115" s="24">
        <f t="shared" si="29"/>
        <v>1.2171711216004648E-5</v>
      </c>
      <c r="N115" s="24">
        <f t="shared" si="24"/>
        <v>1.343529399061128E-5</v>
      </c>
      <c r="O115" s="55">
        <f t="shared" si="25"/>
        <v>3.5755267248764174E-8</v>
      </c>
      <c r="P115" s="75">
        <f t="shared" si="28"/>
        <v>3.6941495317184917E-13</v>
      </c>
      <c r="R115" s="16"/>
      <c r="S115" s="121"/>
      <c r="T115" s="123"/>
      <c r="U115" s="18"/>
      <c r="V115" s="16"/>
      <c r="W115" s="18"/>
      <c r="X115" s="14"/>
      <c r="Y115" s="14"/>
    </row>
    <row r="116" spans="2:25" ht="12.75" thickBot="1">
      <c r="R116" s="16"/>
      <c r="S116" s="121"/>
      <c r="T116" s="123"/>
      <c r="U116" s="18"/>
      <c r="V116" s="16"/>
      <c r="W116" s="18"/>
      <c r="X116" s="14"/>
      <c r="Y116" s="14"/>
    </row>
    <row r="117" spans="2:25">
      <c r="D117" s="146" t="s">
        <v>51</v>
      </c>
      <c r="E117" s="147"/>
      <c r="F117" s="38">
        <f>0.803*SUM(L20:L115)</f>
        <v>1.2547457566749706E-5</v>
      </c>
      <c r="G117" s="5" t="s">
        <v>53</v>
      </c>
      <c r="I117" s="129" t="s">
        <v>66</v>
      </c>
      <c r="J117" s="129"/>
      <c r="K117" s="12">
        <f>'bruit interne'!$B$12</f>
        <v>0.13353681800839373</v>
      </c>
      <c r="L117" s="3" t="s">
        <v>71</v>
      </c>
      <c r="R117" s="16"/>
      <c r="S117" s="121"/>
      <c r="T117" s="123"/>
      <c r="U117" s="18"/>
      <c r="V117" s="16"/>
      <c r="W117" s="18"/>
      <c r="X117" s="14"/>
      <c r="Y117" s="14"/>
    </row>
    <row r="118" spans="2:25">
      <c r="D118" s="148" t="s">
        <v>52</v>
      </c>
      <c r="E118" s="149"/>
      <c r="F118" s="39">
        <f>0.803*SUM(M20:M115)</f>
        <v>9.5964538699633696E-4</v>
      </c>
      <c r="G118" s="6" t="s">
        <v>53</v>
      </c>
      <c r="I118" s="129" t="s">
        <v>74</v>
      </c>
      <c r="J118" s="129"/>
      <c r="K118" s="67">
        <f>$K$117*$I$8*$I$8*$N$11</f>
        <v>9.7041205646699723E-4</v>
      </c>
      <c r="L118" s="3" t="s">
        <v>53</v>
      </c>
      <c r="R118" s="16"/>
      <c r="S118" s="121"/>
      <c r="T118" s="123"/>
      <c r="U118" s="18"/>
      <c r="V118" s="16"/>
      <c r="W118" s="18"/>
      <c r="X118" s="14"/>
      <c r="Y118" s="14"/>
    </row>
    <row r="119" spans="2:25" ht="12.75" thickBot="1">
      <c r="D119" s="150" t="s">
        <v>54</v>
      </c>
      <c r="E119" s="151"/>
      <c r="F119" s="40">
        <f>0.803*SUM(N20:N115)</f>
        <v>9.7219284456308665E-4</v>
      </c>
      <c r="G119" s="7" t="s">
        <v>53</v>
      </c>
      <c r="I119" s="129" t="s">
        <v>73</v>
      </c>
      <c r="J119" s="129"/>
      <c r="K119" s="37">
        <f>K120*K118/F118</f>
        <v>0.37415118725950747</v>
      </c>
      <c r="R119" s="16"/>
      <c r="S119" s="121"/>
      <c r="T119" s="123"/>
      <c r="U119" s="18"/>
      <c r="V119" s="16"/>
      <c r="W119" s="18"/>
      <c r="X119" s="14"/>
      <c r="Y119" s="14"/>
    </row>
    <row r="120" spans="2:25" ht="13.5" thickTop="1" thickBot="1">
      <c r="I120" s="129" t="s">
        <v>99</v>
      </c>
      <c r="J120" s="129"/>
      <c r="K120" s="34">
        <v>0.37</v>
      </c>
      <c r="M120" s="44" t="s">
        <v>112</v>
      </c>
      <c r="R120" s="16"/>
      <c r="S120" s="121"/>
      <c r="T120" s="123"/>
      <c r="U120" s="18"/>
      <c r="V120" s="16"/>
      <c r="W120" s="18"/>
      <c r="X120" s="14"/>
      <c r="Y120" s="14"/>
    </row>
    <row r="121" spans="2:25" ht="12.75" thickTop="1">
      <c r="R121" s="16"/>
      <c r="S121" s="121"/>
      <c r="T121" s="123"/>
      <c r="U121" s="18"/>
      <c r="V121" s="16"/>
      <c r="W121" s="18"/>
      <c r="X121" s="14"/>
      <c r="Y121" s="14"/>
    </row>
    <row r="122" spans="2:25">
      <c r="N122" s="4"/>
      <c r="O122" s="3"/>
      <c r="P122" s="3"/>
      <c r="R122" s="16"/>
      <c r="S122" s="121"/>
      <c r="T122" s="123"/>
      <c r="U122" s="18"/>
      <c r="V122" s="16"/>
      <c r="W122" s="18"/>
      <c r="X122" s="14"/>
      <c r="Y122" s="14"/>
    </row>
    <row r="123" spans="2:25">
      <c r="R123" s="16"/>
      <c r="S123" s="121"/>
      <c r="T123" s="123"/>
      <c r="U123" s="18"/>
      <c r="V123" s="16"/>
      <c r="W123" s="18"/>
      <c r="X123" s="14"/>
      <c r="Y123" s="14"/>
    </row>
    <row r="124" spans="2:25">
      <c r="R124" s="16"/>
      <c r="S124" s="121"/>
      <c r="T124" s="123"/>
      <c r="U124" s="18"/>
      <c r="V124" s="16"/>
      <c r="W124" s="18"/>
      <c r="X124" s="14"/>
      <c r="Y124" s="14"/>
    </row>
    <row r="125" spans="2:25">
      <c r="R125" s="16"/>
      <c r="S125" s="121"/>
      <c r="T125" s="123"/>
      <c r="U125" s="18"/>
      <c r="V125" s="16"/>
      <c r="W125" s="18"/>
      <c r="X125" s="14"/>
      <c r="Y125" s="14"/>
    </row>
    <row r="126" spans="2:25">
      <c r="R126" s="16"/>
      <c r="S126" s="121"/>
      <c r="T126" s="123"/>
      <c r="U126" s="18"/>
      <c r="V126" s="16"/>
      <c r="W126" s="18"/>
      <c r="X126" s="14"/>
      <c r="Y126" s="14"/>
    </row>
    <row r="127" spans="2:25">
      <c r="R127" s="16"/>
      <c r="S127" s="121"/>
      <c r="T127" s="123"/>
      <c r="U127" s="18"/>
      <c r="V127" s="16"/>
      <c r="W127" s="18"/>
      <c r="X127" s="14"/>
      <c r="Y127" s="14"/>
    </row>
    <row r="128" spans="2:25">
      <c r="R128" s="16"/>
      <c r="S128" s="121"/>
      <c r="T128" s="123"/>
      <c r="U128" s="18"/>
      <c r="V128" s="16"/>
      <c r="W128" s="18"/>
      <c r="X128" s="14"/>
      <c r="Y128" s="14"/>
    </row>
    <row r="129" spans="18:25">
      <c r="R129" s="16"/>
      <c r="S129" s="121"/>
      <c r="T129" s="123"/>
      <c r="U129" s="18"/>
      <c r="V129" s="16"/>
      <c r="W129" s="18"/>
      <c r="X129" s="14"/>
      <c r="Y129" s="14"/>
    </row>
    <row r="130" spans="18:25">
      <c r="R130" s="16"/>
      <c r="S130" s="121"/>
      <c r="T130" s="123"/>
      <c r="U130" s="18"/>
      <c r="V130" s="16"/>
      <c r="W130" s="18"/>
      <c r="X130" s="14"/>
      <c r="Y130" s="14"/>
    </row>
    <row r="131" spans="18:25">
      <c r="R131" s="16"/>
      <c r="S131" s="121"/>
      <c r="T131" s="123"/>
      <c r="U131" s="18"/>
      <c r="V131" s="16"/>
      <c r="W131" s="18"/>
      <c r="X131" s="14"/>
      <c r="Y131" s="14"/>
    </row>
    <row r="132" spans="18:25">
      <c r="R132" s="16"/>
      <c r="S132" s="121"/>
      <c r="T132" s="123"/>
      <c r="U132" s="18"/>
      <c r="V132" s="16"/>
      <c r="W132" s="18"/>
      <c r="X132" s="14"/>
      <c r="Y132" s="14"/>
    </row>
    <row r="133" spans="18:25">
      <c r="R133" s="16"/>
      <c r="S133" s="121"/>
      <c r="T133" s="123"/>
      <c r="U133" s="18"/>
      <c r="V133" s="16"/>
      <c r="W133" s="18"/>
      <c r="X133" s="14"/>
      <c r="Y133" s="14"/>
    </row>
    <row r="134" spans="18:25">
      <c r="R134" s="16"/>
      <c r="S134" s="121"/>
      <c r="T134" s="123"/>
      <c r="U134" s="18"/>
      <c r="V134" s="16"/>
      <c r="W134" s="18"/>
      <c r="X134" s="14"/>
      <c r="Y134" s="14"/>
    </row>
    <row r="135" spans="18:25">
      <c r="R135" s="16"/>
      <c r="S135" s="121"/>
      <c r="T135" s="123"/>
      <c r="U135" s="18"/>
      <c r="V135" s="16"/>
      <c r="W135" s="18"/>
      <c r="X135" s="14"/>
      <c r="Y135" s="14"/>
    </row>
    <row r="136" spans="18:25">
      <c r="R136" s="16"/>
      <c r="S136" s="121"/>
      <c r="T136" s="123"/>
      <c r="U136" s="18"/>
      <c r="V136" s="16"/>
      <c r="W136" s="18"/>
      <c r="X136" s="14"/>
      <c r="Y136" s="14"/>
    </row>
    <row r="137" spans="18:25">
      <c r="R137" s="16"/>
      <c r="S137" s="121"/>
      <c r="T137" s="123"/>
      <c r="U137" s="18"/>
      <c r="V137" s="16"/>
      <c r="W137" s="18"/>
      <c r="X137" s="14"/>
      <c r="Y137" s="14"/>
    </row>
    <row r="138" spans="18:25">
      <c r="R138" s="16"/>
      <c r="S138" s="121"/>
      <c r="T138" s="123"/>
      <c r="U138" s="18"/>
      <c r="V138" s="16"/>
      <c r="W138" s="18"/>
      <c r="X138" s="14"/>
      <c r="Y138" s="14"/>
    </row>
    <row r="139" spans="18:25">
      <c r="R139" s="16"/>
      <c r="S139" s="121"/>
      <c r="T139" s="123"/>
      <c r="U139" s="18"/>
      <c r="V139" s="16"/>
      <c r="W139" s="18"/>
      <c r="X139" s="14"/>
      <c r="Y139" s="14"/>
    </row>
    <row r="140" spans="18:25">
      <c r="R140" s="16"/>
      <c r="S140" s="121"/>
      <c r="T140" s="123"/>
      <c r="U140" s="18"/>
      <c r="V140" s="16"/>
      <c r="W140" s="18"/>
      <c r="X140" s="14"/>
      <c r="Y140" s="14"/>
    </row>
    <row r="141" spans="18:25">
      <c r="R141" s="16"/>
      <c r="S141" s="121"/>
      <c r="T141" s="123"/>
      <c r="U141" s="18"/>
      <c r="V141" s="16"/>
      <c r="W141" s="18"/>
      <c r="X141" s="14"/>
      <c r="Y141" s="14"/>
    </row>
    <row r="142" spans="18:25">
      <c r="R142" s="16"/>
      <c r="S142" s="121"/>
      <c r="T142" s="123"/>
      <c r="U142" s="18"/>
      <c r="V142" s="16"/>
      <c r="W142" s="18"/>
      <c r="X142" s="14"/>
      <c r="Y142" s="14"/>
    </row>
    <row r="143" spans="18:25">
      <c r="R143" s="16"/>
      <c r="S143" s="121"/>
      <c r="T143" s="123"/>
      <c r="U143" s="18"/>
      <c r="V143" s="16"/>
      <c r="W143" s="18"/>
      <c r="X143" s="14"/>
      <c r="Y143" s="14"/>
    </row>
    <row r="144" spans="18:25">
      <c r="R144" s="16"/>
      <c r="S144" s="121"/>
      <c r="T144" s="123"/>
      <c r="U144" s="18"/>
      <c r="V144" s="16"/>
      <c r="W144" s="18"/>
      <c r="X144" s="14"/>
      <c r="Y144" s="14"/>
    </row>
    <row r="145" spans="18:25">
      <c r="R145" s="16"/>
      <c r="S145" s="121"/>
      <c r="T145" s="123"/>
      <c r="U145" s="18"/>
      <c r="V145" s="16"/>
      <c r="W145" s="18"/>
      <c r="X145" s="14"/>
      <c r="Y145" s="14"/>
    </row>
    <row r="146" spans="18:25">
      <c r="R146" s="16"/>
      <c r="S146" s="121"/>
      <c r="T146" s="123"/>
      <c r="U146" s="18"/>
      <c r="V146" s="16"/>
      <c r="W146" s="18"/>
      <c r="X146" s="14"/>
      <c r="Y146" s="14"/>
    </row>
    <row r="147" spans="18:25">
      <c r="R147" s="16"/>
      <c r="S147" s="121"/>
      <c r="T147" s="123"/>
      <c r="U147" s="18"/>
      <c r="V147" s="16"/>
      <c r="W147" s="18"/>
      <c r="X147" s="14"/>
      <c r="Y147" s="14"/>
    </row>
    <row r="148" spans="18:25">
      <c r="R148" s="16"/>
      <c r="S148" s="121"/>
      <c r="T148" s="123"/>
      <c r="U148" s="18"/>
      <c r="V148" s="16"/>
      <c r="W148" s="18"/>
      <c r="X148" s="14"/>
      <c r="Y148" s="14"/>
    </row>
    <row r="149" spans="18:25">
      <c r="R149" s="16"/>
      <c r="S149" s="121"/>
      <c r="T149" s="123"/>
      <c r="U149" s="18"/>
      <c r="V149" s="16"/>
      <c r="W149" s="18"/>
      <c r="X149" s="14"/>
      <c r="Y149" s="14"/>
    </row>
    <row r="150" spans="18:25">
      <c r="R150" s="16"/>
      <c r="S150" s="121"/>
      <c r="T150" s="123"/>
      <c r="U150" s="18"/>
      <c r="V150" s="16"/>
      <c r="W150" s="18"/>
      <c r="X150" s="14"/>
      <c r="Y150" s="14"/>
    </row>
    <row r="151" spans="18:25">
      <c r="R151" s="16"/>
      <c r="S151" s="121"/>
      <c r="T151" s="123"/>
      <c r="U151" s="18"/>
      <c r="V151" s="16"/>
      <c r="W151" s="18"/>
      <c r="X151" s="14"/>
      <c r="Y151" s="14"/>
    </row>
    <row r="152" spans="18:25">
      <c r="R152" s="16"/>
      <c r="S152" s="121"/>
      <c r="T152" s="123"/>
      <c r="U152" s="18"/>
      <c r="V152" s="16"/>
      <c r="W152" s="18"/>
      <c r="X152" s="14"/>
      <c r="Y152" s="14"/>
    </row>
    <row r="153" spans="18:25">
      <c r="R153" s="16"/>
      <c r="S153" s="121"/>
      <c r="T153" s="123"/>
      <c r="U153" s="18"/>
      <c r="V153" s="16"/>
      <c r="W153" s="18"/>
      <c r="X153" s="14"/>
      <c r="Y153" s="14"/>
    </row>
    <row r="154" spans="18:25">
      <c r="R154" s="16"/>
      <c r="S154" s="121"/>
      <c r="T154" s="123"/>
      <c r="U154" s="18"/>
      <c r="V154" s="16"/>
      <c r="W154" s="18"/>
      <c r="X154" s="14"/>
      <c r="Y154" s="14"/>
    </row>
    <row r="155" spans="18:25">
      <c r="R155" s="16"/>
      <c r="S155" s="121"/>
      <c r="T155" s="123"/>
      <c r="U155" s="18"/>
      <c r="V155" s="16"/>
      <c r="W155" s="18"/>
      <c r="X155" s="14"/>
      <c r="Y155" s="14"/>
    </row>
    <row r="156" spans="18:25">
      <c r="R156" s="16"/>
      <c r="S156" s="121"/>
      <c r="T156" s="123"/>
      <c r="U156" s="18"/>
      <c r="V156" s="16"/>
      <c r="W156" s="18"/>
      <c r="X156" s="14"/>
      <c r="Y156" s="14"/>
    </row>
    <row r="157" spans="18:25">
      <c r="R157" s="16"/>
      <c r="S157" s="121"/>
      <c r="T157" s="123"/>
      <c r="U157" s="18"/>
      <c r="V157" s="16"/>
      <c r="W157" s="18"/>
      <c r="X157" s="14"/>
      <c r="Y157" s="14"/>
    </row>
    <row r="158" spans="18:25">
      <c r="R158" s="16"/>
      <c r="S158" s="121"/>
      <c r="T158" s="123"/>
      <c r="U158" s="18"/>
      <c r="V158" s="16"/>
      <c r="W158" s="18"/>
      <c r="X158" s="14"/>
      <c r="Y158" s="14"/>
    </row>
    <row r="159" spans="18:25">
      <c r="R159" s="16"/>
      <c r="S159" s="121"/>
      <c r="T159" s="123"/>
      <c r="U159" s="18"/>
      <c r="V159" s="16"/>
      <c r="W159" s="18"/>
      <c r="X159" s="14"/>
      <c r="Y159" s="14"/>
    </row>
    <row r="160" spans="18:25">
      <c r="R160" s="16"/>
      <c r="S160" s="121"/>
      <c r="T160" s="18"/>
      <c r="U160" s="18"/>
      <c r="V160" s="16"/>
      <c r="W160" s="18"/>
      <c r="X160" s="14"/>
      <c r="Y160" s="14"/>
    </row>
    <row r="161" spans="18:25">
      <c r="R161" s="16"/>
      <c r="S161" s="121"/>
      <c r="T161" s="18"/>
      <c r="U161" s="18"/>
      <c r="V161" s="16"/>
      <c r="W161" s="18"/>
      <c r="X161" s="14"/>
      <c r="Y161" s="14"/>
    </row>
    <row r="162" spans="18:25">
      <c r="R162" s="16"/>
      <c r="S162" s="121"/>
      <c r="T162" s="18"/>
      <c r="U162" s="18"/>
      <c r="V162" s="16"/>
      <c r="W162" s="18"/>
      <c r="X162" s="14"/>
      <c r="Y162" s="14"/>
    </row>
    <row r="163" spans="18:25">
      <c r="R163" s="16"/>
      <c r="S163" s="121"/>
      <c r="T163" s="18"/>
      <c r="U163" s="18"/>
      <c r="V163" s="16"/>
      <c r="W163" s="18"/>
      <c r="X163" s="14"/>
      <c r="Y163" s="14"/>
    </row>
    <row r="164" spans="18:25">
      <c r="R164" s="16"/>
      <c r="S164" s="121"/>
      <c r="T164" s="18"/>
      <c r="U164" s="18"/>
      <c r="V164" s="16"/>
      <c r="W164" s="18"/>
      <c r="X164" s="14"/>
      <c r="Y164" s="14"/>
    </row>
    <row r="165" spans="18:25">
      <c r="R165" s="16"/>
      <c r="S165" s="121"/>
      <c r="T165" s="18"/>
      <c r="U165" s="18"/>
      <c r="V165" s="16"/>
      <c r="W165" s="18"/>
      <c r="X165" s="14"/>
      <c r="Y165" s="14"/>
    </row>
    <row r="166" spans="18:25">
      <c r="R166" s="16"/>
      <c r="S166" s="121"/>
      <c r="T166" s="18"/>
      <c r="U166" s="18"/>
      <c r="V166" s="16"/>
      <c r="W166" s="18"/>
      <c r="X166" s="14"/>
      <c r="Y166" s="14"/>
    </row>
    <row r="167" spans="18:25">
      <c r="R167" s="16"/>
      <c r="S167" s="121"/>
      <c r="T167" s="18"/>
      <c r="U167" s="18"/>
      <c r="V167" s="16"/>
      <c r="W167" s="18"/>
      <c r="X167" s="14"/>
      <c r="Y167" s="14"/>
    </row>
    <row r="168" spans="18:25">
      <c r="R168" s="16"/>
      <c r="S168" s="121"/>
      <c r="T168" s="18"/>
      <c r="U168" s="18"/>
      <c r="V168" s="16"/>
      <c r="W168" s="18"/>
      <c r="X168" s="14"/>
      <c r="Y168" s="14"/>
    </row>
    <row r="169" spans="18:25">
      <c r="R169" s="16"/>
      <c r="S169" s="121"/>
      <c r="T169" s="18"/>
      <c r="U169" s="18"/>
      <c r="V169" s="16"/>
      <c r="W169" s="18"/>
      <c r="X169" s="14"/>
      <c r="Y169" s="14"/>
    </row>
    <row r="170" spans="18:25">
      <c r="R170" s="16"/>
      <c r="S170" s="121"/>
      <c r="T170" s="18"/>
      <c r="U170" s="18"/>
      <c r="V170" s="16"/>
      <c r="W170" s="18"/>
      <c r="X170" s="14"/>
      <c r="Y170" s="14"/>
    </row>
    <row r="171" spans="18:25">
      <c r="R171" s="16"/>
      <c r="S171" s="121"/>
      <c r="T171" s="18"/>
      <c r="U171" s="18"/>
      <c r="V171" s="16"/>
      <c r="W171" s="18"/>
      <c r="X171" s="14"/>
      <c r="Y171" s="14"/>
    </row>
    <row r="172" spans="18:25">
      <c r="R172" s="16"/>
      <c r="S172" s="121"/>
      <c r="T172" s="18"/>
      <c r="U172" s="18"/>
      <c r="V172" s="16"/>
      <c r="W172" s="18"/>
      <c r="X172" s="14"/>
      <c r="Y172" s="14"/>
    </row>
    <row r="173" spans="18:25">
      <c r="R173" s="16"/>
      <c r="S173" s="121"/>
      <c r="T173" s="18"/>
      <c r="U173" s="18"/>
      <c r="V173" s="16"/>
      <c r="W173" s="18"/>
      <c r="X173" s="14"/>
      <c r="Y173" s="14"/>
    </row>
    <row r="174" spans="18:25">
      <c r="R174" s="16"/>
      <c r="S174" s="121"/>
      <c r="T174" s="18"/>
      <c r="U174" s="18"/>
      <c r="V174" s="16"/>
      <c r="W174" s="18"/>
      <c r="X174" s="14"/>
      <c r="Y174" s="14"/>
    </row>
    <row r="175" spans="18:25">
      <c r="R175" s="16"/>
      <c r="S175" s="121"/>
      <c r="T175" s="18"/>
      <c r="U175" s="18"/>
      <c r="V175" s="16"/>
      <c r="W175" s="18"/>
      <c r="X175" s="14"/>
      <c r="Y175" s="14"/>
    </row>
    <row r="176" spans="18:25">
      <c r="R176" s="16"/>
      <c r="S176" s="121"/>
      <c r="T176" s="18"/>
      <c r="U176" s="18"/>
      <c r="V176" s="16"/>
      <c r="W176" s="18"/>
      <c r="X176" s="14"/>
      <c r="Y176" s="14"/>
    </row>
    <row r="177" spans="18:25">
      <c r="R177" s="16"/>
      <c r="S177" s="121"/>
      <c r="T177" s="18"/>
      <c r="U177" s="18"/>
      <c r="V177" s="16"/>
      <c r="W177" s="18"/>
      <c r="X177" s="14"/>
      <c r="Y177" s="14"/>
    </row>
    <row r="178" spans="18:25">
      <c r="R178" s="16"/>
      <c r="S178" s="121"/>
      <c r="T178" s="18"/>
      <c r="U178" s="18"/>
      <c r="V178" s="16"/>
      <c r="W178" s="18"/>
      <c r="X178" s="14"/>
      <c r="Y178" s="14"/>
    </row>
    <row r="179" spans="18:25">
      <c r="R179" s="16"/>
      <c r="S179" s="121"/>
      <c r="T179" s="18"/>
      <c r="U179" s="18"/>
      <c r="V179" s="16"/>
      <c r="W179" s="18"/>
      <c r="X179" s="14"/>
      <c r="Y179" s="14"/>
    </row>
    <row r="180" spans="18:25">
      <c r="R180" s="16"/>
      <c r="S180" s="121"/>
      <c r="T180" s="18"/>
      <c r="U180" s="18"/>
      <c r="V180" s="16"/>
      <c r="W180" s="18"/>
      <c r="X180" s="14"/>
      <c r="Y180" s="14"/>
    </row>
    <row r="181" spans="18:25">
      <c r="R181" s="16"/>
      <c r="S181" s="121"/>
      <c r="T181" s="18"/>
      <c r="U181" s="18"/>
      <c r="V181" s="16"/>
      <c r="W181" s="18"/>
      <c r="X181" s="14"/>
      <c r="Y181" s="14"/>
    </row>
    <row r="182" spans="18:25">
      <c r="R182" s="16"/>
      <c r="S182" s="121"/>
      <c r="T182" s="18"/>
      <c r="U182" s="18"/>
      <c r="V182" s="16"/>
      <c r="W182" s="18"/>
      <c r="X182" s="14"/>
      <c r="Y182" s="14"/>
    </row>
    <row r="183" spans="18:25">
      <c r="R183" s="16"/>
      <c r="S183" s="121"/>
      <c r="T183" s="18"/>
      <c r="U183" s="18"/>
      <c r="V183" s="16"/>
      <c r="W183" s="18"/>
      <c r="X183" s="14"/>
      <c r="Y183" s="14"/>
    </row>
    <row r="184" spans="18:25">
      <c r="R184" s="16"/>
      <c r="S184" s="121"/>
      <c r="T184" s="18"/>
      <c r="U184" s="18"/>
      <c r="V184" s="16"/>
      <c r="W184" s="18"/>
      <c r="X184" s="14"/>
      <c r="Y184" s="14"/>
    </row>
    <row r="185" spans="18:25">
      <c r="R185" s="16"/>
      <c r="S185" s="121"/>
      <c r="T185" s="18"/>
      <c r="U185" s="18"/>
      <c r="V185" s="16"/>
      <c r="W185" s="18"/>
      <c r="X185" s="14"/>
      <c r="Y185" s="14"/>
    </row>
    <row r="186" spans="18:25">
      <c r="R186" s="16"/>
      <c r="S186" s="121"/>
      <c r="T186" s="18"/>
      <c r="U186" s="18"/>
      <c r="V186" s="16"/>
      <c r="W186" s="18"/>
      <c r="X186" s="14"/>
      <c r="Y186" s="14"/>
    </row>
    <row r="187" spans="18:25">
      <c r="R187" s="16"/>
      <c r="S187" s="121"/>
      <c r="T187" s="18"/>
      <c r="U187" s="18"/>
      <c r="V187" s="16"/>
      <c r="W187" s="18"/>
      <c r="X187" s="14"/>
      <c r="Y187" s="14"/>
    </row>
    <row r="188" spans="18:25">
      <c r="R188" s="16"/>
      <c r="S188" s="121"/>
      <c r="T188" s="18"/>
      <c r="U188" s="18"/>
      <c r="V188" s="16"/>
      <c r="W188" s="18"/>
      <c r="X188" s="14"/>
      <c r="Y188" s="14"/>
    </row>
    <row r="189" spans="18:25">
      <c r="R189" s="16"/>
      <c r="S189" s="121"/>
      <c r="T189" s="18"/>
      <c r="U189" s="18"/>
      <c r="V189" s="16"/>
      <c r="W189" s="18"/>
      <c r="X189" s="14"/>
      <c r="Y189" s="14"/>
    </row>
    <row r="190" spans="18:25">
      <c r="R190" s="16"/>
      <c r="S190" s="121"/>
      <c r="T190" s="18"/>
      <c r="U190" s="18"/>
      <c r="V190" s="16"/>
      <c r="W190" s="18"/>
      <c r="X190" s="14"/>
      <c r="Y190" s="14"/>
    </row>
    <row r="191" spans="18:25">
      <c r="R191" s="16"/>
      <c r="S191" s="121"/>
      <c r="T191" s="18"/>
      <c r="U191" s="18"/>
      <c r="V191" s="16"/>
      <c r="W191" s="18"/>
      <c r="X191" s="14"/>
      <c r="Y191" s="14"/>
    </row>
    <row r="192" spans="18:25">
      <c r="R192" s="16"/>
      <c r="S192" s="121"/>
      <c r="T192" s="18"/>
      <c r="U192" s="18"/>
      <c r="V192" s="16"/>
      <c r="W192" s="18"/>
      <c r="X192" s="14"/>
      <c r="Y192" s="14"/>
    </row>
    <row r="193" spans="18:25">
      <c r="R193" s="16"/>
      <c r="S193" s="121"/>
      <c r="T193" s="18"/>
      <c r="U193" s="18"/>
      <c r="V193" s="16"/>
      <c r="W193" s="18"/>
      <c r="X193" s="14"/>
      <c r="Y193" s="14"/>
    </row>
    <row r="194" spans="18:25">
      <c r="R194" s="16"/>
      <c r="S194" s="121"/>
      <c r="T194" s="18"/>
      <c r="U194" s="18"/>
      <c r="V194" s="16"/>
      <c r="W194" s="18"/>
      <c r="X194" s="14"/>
      <c r="Y194" s="14"/>
    </row>
    <row r="195" spans="18:25">
      <c r="R195" s="16"/>
      <c r="S195" s="121"/>
      <c r="T195" s="18"/>
      <c r="U195" s="18"/>
      <c r="V195" s="16"/>
      <c r="W195" s="18"/>
      <c r="X195" s="14"/>
      <c r="Y195" s="14"/>
    </row>
    <row r="196" spans="18:25">
      <c r="R196" s="16"/>
      <c r="S196" s="121"/>
      <c r="T196" s="18"/>
      <c r="U196" s="18"/>
      <c r="V196" s="16"/>
      <c r="W196" s="18"/>
      <c r="X196" s="14"/>
      <c r="Y196" s="14"/>
    </row>
    <row r="197" spans="18:25">
      <c r="R197" s="16"/>
      <c r="S197" s="121"/>
      <c r="T197" s="18"/>
      <c r="U197" s="18"/>
      <c r="V197" s="16"/>
      <c r="W197" s="18"/>
      <c r="X197" s="14"/>
      <c r="Y197" s="14"/>
    </row>
    <row r="198" spans="18:25">
      <c r="R198" s="16"/>
      <c r="S198" s="121"/>
      <c r="T198" s="18"/>
      <c r="U198" s="18"/>
      <c r="V198" s="16"/>
      <c r="W198" s="18"/>
      <c r="X198" s="14"/>
      <c r="Y198" s="14"/>
    </row>
    <row r="199" spans="18:25">
      <c r="R199" s="16"/>
      <c r="S199" s="121"/>
      <c r="T199" s="18"/>
      <c r="U199" s="18"/>
      <c r="V199" s="16"/>
      <c r="W199" s="18"/>
      <c r="X199" s="14"/>
      <c r="Y199" s="14"/>
    </row>
    <row r="200" spans="18:25">
      <c r="R200" s="14"/>
      <c r="S200" s="52"/>
      <c r="T200" s="14"/>
      <c r="U200" s="14"/>
      <c r="V200" s="14"/>
      <c r="W200" s="14"/>
      <c r="X200" s="14"/>
      <c r="Y200" s="14"/>
    </row>
  </sheetData>
  <mergeCells count="32">
    <mergeCell ref="O14:P15"/>
    <mergeCell ref="L10:M10"/>
    <mergeCell ref="L11:M11"/>
    <mergeCell ref="I120:J120"/>
    <mergeCell ref="D117:E117"/>
    <mergeCell ref="D118:E118"/>
    <mergeCell ref="D119:E119"/>
    <mergeCell ref="I117:J117"/>
    <mergeCell ref="I118:J118"/>
    <mergeCell ref="I119:J119"/>
    <mergeCell ref="B2:E2"/>
    <mergeCell ref="F11:H11"/>
    <mergeCell ref="F2:K2"/>
    <mergeCell ref="B8:C8"/>
    <mergeCell ref="B9:C9"/>
    <mergeCell ref="B11:C11"/>
    <mergeCell ref="B10:C10"/>
    <mergeCell ref="L9:M9"/>
    <mergeCell ref="B14:B15"/>
    <mergeCell ref="L14:L15"/>
    <mergeCell ref="N14:N15"/>
    <mergeCell ref="M14:M15"/>
    <mergeCell ref="K14:K15"/>
    <mergeCell ref="B12:C12"/>
    <mergeCell ref="C14:C15"/>
    <mergeCell ref="D14:D15"/>
    <mergeCell ref="E14:E15"/>
    <mergeCell ref="F14:F15"/>
    <mergeCell ref="J14:J15"/>
    <mergeCell ref="I14:I15"/>
    <mergeCell ref="H14:H15"/>
    <mergeCell ref="G14:G15"/>
  </mergeCells>
  <phoneticPr fontId="0" type="noConversion"/>
  <pageMargins left="0.78740157499999996" right="0.78740157499999996" top="0.984251969" bottom="0.984251969" header="0.4921259845" footer="0.4921259845009095"/>
  <pageSetup paperSize="9" scale="5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95"/>
  <sheetViews>
    <sheetView tabSelected="1" topLeftCell="A4" workbookViewId="0">
      <selection activeCell="O6" sqref="O6"/>
    </sheetView>
  </sheetViews>
  <sheetFormatPr baseColWidth="10" defaultRowHeight="12"/>
  <cols>
    <col min="1" max="1" width="11.42578125" style="3"/>
    <col min="2" max="2" width="12.85546875" style="3" customWidth="1"/>
    <col min="3" max="3" width="8.7109375" style="3" customWidth="1"/>
    <col min="4" max="4" width="9.42578125" style="3" bestFit="1" customWidth="1"/>
    <col min="5" max="5" width="16.140625" style="3" bestFit="1" customWidth="1"/>
    <col min="6" max="6" width="12" style="3" bestFit="1" customWidth="1"/>
    <col min="7" max="7" width="11.7109375" style="3" bestFit="1" customWidth="1"/>
    <col min="8" max="8" width="13.7109375" style="3" bestFit="1" customWidth="1"/>
    <col min="9" max="9" width="14.42578125" style="3" bestFit="1" customWidth="1"/>
    <col min="10" max="10" width="8.7109375" style="3" bestFit="1" customWidth="1"/>
    <col min="11" max="11" width="14.85546875" style="3" customWidth="1"/>
    <col min="12" max="12" width="9.28515625" style="3" bestFit="1" customWidth="1"/>
    <col min="13" max="13" width="12.140625" style="3" bestFit="1" customWidth="1"/>
    <col min="14" max="14" width="12.28515625" style="3" customWidth="1"/>
    <col min="15" max="15" width="12.140625" style="47" customWidth="1"/>
    <col min="16" max="16" width="9.28515625" style="47" customWidth="1"/>
    <col min="17" max="17" width="11.42578125" style="3"/>
    <col min="20" max="20" width="11.42578125" style="3"/>
    <col min="22" max="16384" width="11.42578125" style="3"/>
  </cols>
  <sheetData>
    <row r="1" spans="2:21" ht="12.75" thickTop="1">
      <c r="F1" s="26"/>
      <c r="G1" s="27"/>
      <c r="H1" s="27"/>
      <c r="I1" s="27"/>
      <c r="J1" s="27"/>
      <c r="K1" s="27"/>
      <c r="L1" s="27"/>
      <c r="M1" s="28"/>
    </row>
    <row r="2" spans="2:21" ht="18">
      <c r="B2" s="138" t="s">
        <v>31</v>
      </c>
      <c r="C2" s="138"/>
      <c r="D2" s="138"/>
      <c r="E2" s="139"/>
      <c r="F2" s="140" t="s">
        <v>128</v>
      </c>
      <c r="G2" s="141"/>
      <c r="H2" s="141"/>
      <c r="I2" s="141"/>
      <c r="J2" s="141"/>
      <c r="K2" s="141"/>
      <c r="L2" s="42" t="s">
        <v>129</v>
      </c>
      <c r="M2" s="32"/>
      <c r="Q2" s="83"/>
      <c r="R2" s="82"/>
      <c r="S2" s="82"/>
      <c r="T2" s="83"/>
    </row>
    <row r="3" spans="2:21" ht="12.75" thickBot="1">
      <c r="F3" s="29"/>
      <c r="G3" s="30"/>
      <c r="H3" s="30"/>
      <c r="I3" s="30"/>
      <c r="J3" s="30"/>
      <c r="K3" s="30"/>
      <c r="L3" s="30"/>
      <c r="M3" s="31"/>
      <c r="Q3" s="83"/>
      <c r="R3" s="82"/>
      <c r="S3" s="82"/>
      <c r="T3" s="83"/>
    </row>
    <row r="4" spans="2:21" ht="14.25" thickTop="1" thickBot="1">
      <c r="B4" s="1" t="s">
        <v>50</v>
      </c>
      <c r="C4" s="3">
        <v>11.3</v>
      </c>
      <c r="D4" s="3" t="s">
        <v>37</v>
      </c>
      <c r="E4" s="47" t="s">
        <v>76</v>
      </c>
      <c r="F4" s="34">
        <v>202</v>
      </c>
      <c r="G4" s="3" t="s">
        <v>40</v>
      </c>
      <c r="H4" s="3" t="s">
        <v>44</v>
      </c>
      <c r="I4" s="3">
        <v>1</v>
      </c>
      <c r="J4" s="3" t="s">
        <v>37</v>
      </c>
      <c r="K4" s="33" t="s">
        <v>103</v>
      </c>
      <c r="L4" s="34">
        <v>10</v>
      </c>
      <c r="M4" s="3" t="s">
        <v>100</v>
      </c>
      <c r="N4" s="45" t="s">
        <v>19</v>
      </c>
      <c r="O4" s="34">
        <v>0.5</v>
      </c>
      <c r="P4" s="14"/>
      <c r="Q4" s="82"/>
      <c r="R4" s="82"/>
      <c r="S4" s="84"/>
      <c r="T4" s="83"/>
      <c r="U4" s="3"/>
    </row>
    <row r="5" spans="2:21" ht="14.25" thickTop="1" thickBot="1">
      <c r="B5" s="1" t="s">
        <v>56</v>
      </c>
      <c r="C5" s="3">
        <v>16.649999999999999</v>
      </c>
      <c r="D5" s="3" t="s">
        <v>37</v>
      </c>
      <c r="E5" s="47" t="s">
        <v>77</v>
      </c>
      <c r="F5" s="34">
        <f>15.2/2</f>
        <v>7.6</v>
      </c>
      <c r="G5" s="3" t="s">
        <v>40</v>
      </c>
      <c r="H5" s="3" t="s">
        <v>45</v>
      </c>
      <c r="I5" s="3">
        <v>6.2</v>
      </c>
      <c r="J5" s="3" t="s">
        <v>37</v>
      </c>
      <c r="K5" s="3" t="s">
        <v>101</v>
      </c>
      <c r="L5" s="34">
        <v>50</v>
      </c>
      <c r="M5" s="3" t="s">
        <v>102</v>
      </c>
      <c r="N5" s="3" t="s">
        <v>55</v>
      </c>
      <c r="O5" s="34">
        <v>3</v>
      </c>
      <c r="P5" s="14"/>
      <c r="Q5" s="82"/>
      <c r="R5" s="83"/>
      <c r="S5" s="85"/>
      <c r="T5" s="83"/>
      <c r="U5" s="3"/>
    </row>
    <row r="6" spans="2:21" ht="14.25" thickTop="1" thickBot="1">
      <c r="B6" s="1" t="s">
        <v>124</v>
      </c>
      <c r="C6" s="34">
        <v>0.13</v>
      </c>
      <c r="D6" s="3" t="s">
        <v>40</v>
      </c>
      <c r="E6" s="13" t="s">
        <v>39</v>
      </c>
      <c r="F6" s="34">
        <v>190</v>
      </c>
      <c r="G6" s="3" t="s">
        <v>40</v>
      </c>
      <c r="H6" s="3" t="s">
        <v>46</v>
      </c>
      <c r="I6" s="34">
        <v>4.4999999999999998E-2</v>
      </c>
      <c r="J6" s="3" t="s">
        <v>40</v>
      </c>
      <c r="K6" s="47" t="s">
        <v>41</v>
      </c>
      <c r="L6" s="34">
        <v>2000</v>
      </c>
      <c r="M6" s="3" t="s">
        <v>40</v>
      </c>
      <c r="N6" s="3" t="s">
        <v>57</v>
      </c>
      <c r="O6" s="34">
        <v>1000000</v>
      </c>
      <c r="P6" s="14"/>
      <c r="Q6" s="82"/>
      <c r="R6" s="83"/>
      <c r="S6" s="85"/>
      <c r="T6" s="83"/>
      <c r="U6" s="3"/>
    </row>
    <row r="7" spans="2:21" ht="14.25" thickTop="1" thickBot="1">
      <c r="B7" s="2" t="s">
        <v>125</v>
      </c>
      <c r="C7" s="41">
        <v>0.01</v>
      </c>
      <c r="D7" s="3" t="s">
        <v>40</v>
      </c>
      <c r="H7" s="3" t="s">
        <v>47</v>
      </c>
      <c r="I7" s="34">
        <v>0.2</v>
      </c>
      <c r="J7" s="3" t="s">
        <v>40</v>
      </c>
      <c r="K7" s="47" t="s">
        <v>104</v>
      </c>
      <c r="L7" s="34">
        <v>150</v>
      </c>
      <c r="M7" s="3" t="s">
        <v>40</v>
      </c>
      <c r="N7" s="50" t="s">
        <v>111</v>
      </c>
      <c r="Q7" s="82"/>
      <c r="R7" s="83"/>
      <c r="S7" s="85"/>
      <c r="T7" s="83"/>
      <c r="U7" s="3"/>
    </row>
    <row r="8" spans="2:21" ht="14.25" thickTop="1" thickBot="1">
      <c r="B8" s="133" t="s">
        <v>94</v>
      </c>
      <c r="C8" s="129"/>
      <c r="D8" s="35">
        <f>2*3.1415928*(1-$L$6/SQRT($L$6*$L$6+$L$7*$L$7))</f>
        <v>1.7597255778913853E-2</v>
      </c>
      <c r="E8" s="1" t="s">
        <v>38</v>
      </c>
      <c r="H8" s="3" t="s">
        <v>65</v>
      </c>
      <c r="I8" s="34">
        <v>2.5000000000000001E-2</v>
      </c>
      <c r="J8" s="3" t="s">
        <v>40</v>
      </c>
      <c r="K8" s="50" t="s">
        <v>121</v>
      </c>
      <c r="O8" s="3"/>
      <c r="P8" s="3"/>
      <c r="Q8" s="82"/>
      <c r="R8" s="83"/>
      <c r="S8" s="85"/>
      <c r="T8" s="83"/>
      <c r="U8" s="3"/>
    </row>
    <row r="9" spans="2:21" ht="13.5" thickTop="1">
      <c r="B9" s="133" t="s">
        <v>95</v>
      </c>
      <c r="C9" s="129"/>
      <c r="D9" s="35">
        <f>2*3.1415928*(1-$L$6/SQRT($L$6*$L$6+$F$6*$F$6))</f>
        <v>2.8162393540696811E-2</v>
      </c>
      <c r="E9" s="1" t="s">
        <v>38</v>
      </c>
      <c r="L9" s="129" t="s">
        <v>130</v>
      </c>
      <c r="M9" s="129"/>
      <c r="N9" s="37">
        <f>$L$6*TAN($L$4*PI()/180/3600/2)</f>
        <v>4.8481368120449654E-2</v>
      </c>
      <c r="O9" s="3" t="s">
        <v>40</v>
      </c>
      <c r="P9" s="3"/>
      <c r="Q9" s="82"/>
      <c r="R9" s="83"/>
      <c r="S9" s="85"/>
      <c r="T9" s="83"/>
      <c r="U9" s="3"/>
    </row>
    <row r="10" spans="2:21">
      <c r="B10" s="133" t="s">
        <v>97</v>
      </c>
      <c r="C10" s="129"/>
      <c r="D10" s="35">
        <f>2*3.1415928-$D$11</f>
        <v>4.4423580987178468E-3</v>
      </c>
      <c r="E10" s="3" t="s">
        <v>38</v>
      </c>
      <c r="F10" s="47"/>
      <c r="G10" s="47"/>
      <c r="H10" s="47"/>
      <c r="I10" s="3" t="s">
        <v>80</v>
      </c>
      <c r="J10" s="37">
        <f>3.1415928*$C$6*(3+$F$5-$C$6)*$C$4*$F$4/1000</f>
        <v>9.760447726078608</v>
      </c>
      <c r="K10" s="3" t="s">
        <v>78</v>
      </c>
      <c r="L10" s="129" t="s">
        <v>75</v>
      </c>
      <c r="M10" s="129"/>
      <c r="N10" s="35">
        <f>3.1415928*$L$6*TAN($L$4*PI()/180/3600/2)*$L$6*TAN($L$4*PI()/180/3600/2)</f>
        <v>7.3841349778656683E-3</v>
      </c>
      <c r="O10" s="3" t="s">
        <v>62</v>
      </c>
      <c r="P10" s="3"/>
      <c r="Q10" s="83"/>
      <c r="R10" s="82"/>
      <c r="S10" s="82"/>
      <c r="T10" s="83"/>
      <c r="U10" s="3"/>
    </row>
    <row r="11" spans="2:21">
      <c r="B11" s="133" t="s">
        <v>96</v>
      </c>
      <c r="C11" s="129"/>
      <c r="D11" s="35">
        <f>2*3.1415928*$F$4/SQRT($F$4*$F$4+$F$5*$F$5)</f>
        <v>6.2787432419012825</v>
      </c>
      <c r="E11" s="3" t="s">
        <v>38</v>
      </c>
      <c r="F11" s="129" t="s">
        <v>120</v>
      </c>
      <c r="G11" s="129"/>
      <c r="H11" s="129"/>
      <c r="I11" s="3" t="s">
        <v>81</v>
      </c>
      <c r="J11" s="37">
        <f>3.1415928*($F$6*$F$6-$L$7*$L$7)*$C$7*$C$5/1000</f>
        <v>7.1138227363199995</v>
      </c>
      <c r="K11" s="3" t="s">
        <v>78</v>
      </c>
      <c r="L11" s="129" t="s">
        <v>72</v>
      </c>
      <c r="M11" s="129"/>
      <c r="N11" s="36">
        <f>INT($N$10/$I$8/$I$8)</f>
        <v>11</v>
      </c>
      <c r="Q11" s="83"/>
      <c r="R11" s="82"/>
      <c r="S11" s="82"/>
      <c r="T11" s="83"/>
    </row>
    <row r="12" spans="2:21">
      <c r="B12" s="133" t="s">
        <v>98</v>
      </c>
      <c r="C12" s="129"/>
      <c r="D12" s="36">
        <f>MAX(2*3.1415928-$D$11-$D$9,0)</f>
        <v>0</v>
      </c>
      <c r="E12" s="3" t="s">
        <v>38</v>
      </c>
      <c r="I12" s="3" t="s">
        <v>79</v>
      </c>
      <c r="J12" s="37">
        <f>SUM(J10:J11)</f>
        <v>16.874270462398606</v>
      </c>
      <c r="K12" s="3" t="s">
        <v>78</v>
      </c>
      <c r="O12" s="3"/>
      <c r="P12" s="3"/>
    </row>
    <row r="13" spans="2:21" ht="12.75" customHeight="1">
      <c r="B13" s="130" t="s">
        <v>36</v>
      </c>
      <c r="C13" s="48" t="s">
        <v>82</v>
      </c>
      <c r="D13" s="48" t="s">
        <v>84</v>
      </c>
      <c r="E13" s="48" t="s">
        <v>84</v>
      </c>
      <c r="F13" s="8" t="s">
        <v>87</v>
      </c>
      <c r="G13" s="8" t="s">
        <v>87</v>
      </c>
      <c r="H13" s="10" t="s">
        <v>84</v>
      </c>
      <c r="I13" s="8" t="s">
        <v>84</v>
      </c>
      <c r="J13" s="8" t="s">
        <v>90</v>
      </c>
      <c r="K13" s="131" t="s">
        <v>43</v>
      </c>
      <c r="L13" s="131" t="s">
        <v>48</v>
      </c>
      <c r="M13" s="131" t="s">
        <v>35</v>
      </c>
      <c r="N13" s="131" t="s">
        <v>49</v>
      </c>
      <c r="O13" s="142" t="s">
        <v>92</v>
      </c>
      <c r="P13" s="143"/>
    </row>
    <row r="14" spans="2:21" ht="25.5">
      <c r="B14" s="130"/>
      <c r="C14" s="49" t="s">
        <v>83</v>
      </c>
      <c r="D14" s="49" t="s">
        <v>85</v>
      </c>
      <c r="E14" s="49" t="s">
        <v>86</v>
      </c>
      <c r="F14" s="9" t="s">
        <v>126</v>
      </c>
      <c r="G14" s="9" t="s">
        <v>127</v>
      </c>
      <c r="H14" s="11" t="s">
        <v>88</v>
      </c>
      <c r="I14" s="9" t="s">
        <v>89</v>
      </c>
      <c r="J14" s="9" t="s">
        <v>91</v>
      </c>
      <c r="K14" s="132"/>
      <c r="L14" s="132"/>
      <c r="M14" s="132"/>
      <c r="N14" s="132"/>
      <c r="O14" s="144"/>
      <c r="P14" s="145"/>
    </row>
    <row r="15" spans="2:21">
      <c r="B15" s="53" t="s">
        <v>34</v>
      </c>
      <c r="C15" s="53" t="s">
        <v>33</v>
      </c>
      <c r="D15" s="53" t="s">
        <v>42</v>
      </c>
      <c r="E15" s="53" t="s">
        <v>42</v>
      </c>
      <c r="F15" s="53"/>
      <c r="G15" s="53"/>
      <c r="H15" s="53" t="s">
        <v>42</v>
      </c>
      <c r="I15" s="53" t="s">
        <v>42</v>
      </c>
      <c r="J15" s="53"/>
      <c r="K15" s="25" t="s">
        <v>105</v>
      </c>
      <c r="L15" s="53" t="s">
        <v>32</v>
      </c>
      <c r="M15" s="53" t="s">
        <v>32</v>
      </c>
      <c r="N15" s="53" t="s">
        <v>32</v>
      </c>
      <c r="O15" s="53" t="s">
        <v>93</v>
      </c>
      <c r="P15" s="53" t="s">
        <v>136</v>
      </c>
    </row>
    <row r="16" spans="2:21">
      <c r="B16" s="15">
        <v>50</v>
      </c>
      <c r="C16" s="64">
        <v>3500</v>
      </c>
      <c r="D16" s="16">
        <v>5.718</v>
      </c>
      <c r="E16" s="120">
        <v>8.0419999999999998</v>
      </c>
      <c r="F16" s="16">
        <f>EXP(-$C$5*$C$6*E16)</f>
        <v>2.7559762731495652E-8</v>
      </c>
      <c r="G16" s="16">
        <f>EXP(-1*D16*$C$5*$C$7)</f>
        <v>0.38595017428976192</v>
      </c>
      <c r="H16" s="20">
        <v>0.4385</v>
      </c>
      <c r="I16" s="120">
        <v>10.67</v>
      </c>
      <c r="J16" s="16">
        <f>1-EXP(-H16*$I$4*$I$6)*EXP(-I16*$I$5*$I$7)</f>
        <v>0.99999824059082276</v>
      </c>
      <c r="K16" s="17">
        <f>MIN(167*POWER(B16,-2.38),11.6*POWER(B16,-1.41))</f>
        <v>1.5106639338553269E-2</v>
      </c>
      <c r="L16" s="18">
        <f>K16*$N$10*J16*(MAX(G16*($D$10-$D$8),0)+MAX(G16*F16*($D$9-$D$10),0)+F16*$D$11+$D$12)</f>
        <v>1.9330704654055473E-11</v>
      </c>
      <c r="M16" s="18">
        <f>$K$120*0.000084*(B16/10)^(-0.45)</f>
        <v>2.4835483489353912E-5</v>
      </c>
      <c r="N16" s="18">
        <f t="shared" ref="N16:N47" si="0">L16+M16</f>
        <v>2.4835502820058565E-5</v>
      </c>
      <c r="O16" s="19">
        <f t="shared" ref="O16:O47" si="1">100*$O$5*SQRT(N16)/(C16*J16*SQRT(($O$4*B16)*$O$6))/$L$5</f>
        <v>1.7086395090390747E-9</v>
      </c>
      <c r="P16" s="73">
        <f t="shared" ref="P16:P47" si="2">O16*B16*B16*0.0000000016021773</f>
        <v>6.8438585881638752E-15</v>
      </c>
    </row>
    <row r="17" spans="2:16">
      <c r="B17" s="15">
        <f>B16+6.5</f>
        <v>56.5</v>
      </c>
      <c r="C17" s="64">
        <v>6800</v>
      </c>
      <c r="D17" s="16">
        <v>4.1639999999999997</v>
      </c>
      <c r="E17" s="120">
        <v>5.859</v>
      </c>
      <c r="F17" s="16">
        <f t="shared" ref="F17:F80" si="3">EXP(-$C$5*$C$6*E17)</f>
        <v>3.107147360902759E-6</v>
      </c>
      <c r="G17" s="16">
        <f t="shared" ref="G17:G80" si="4">EXP(-1*D17*$C$5*$C$7)</f>
        <v>0.49992059658554255</v>
      </c>
      <c r="H17" s="20">
        <v>0.35289999999999999</v>
      </c>
      <c r="I17" s="120">
        <v>7.6879999999999997</v>
      </c>
      <c r="J17" s="16">
        <f t="shared" ref="J17:J80" si="5">1-EXP(-H17*$I$4*$I$6)*EXP(-I17*$I$5*$I$7)</f>
        <v>0.99992872753569373</v>
      </c>
      <c r="K17" s="17">
        <f t="shared" ref="K17:K80" si="6">MIN(167*POWER(B17,-2.38),11.6*POWER(B17,-1.41))</f>
        <v>1.1293827895947916E-2</v>
      </c>
      <c r="L17" s="18">
        <f t="shared" ref="L17:L80" si="7">K17*$N$10*J17*(MAX(G17*($D$10-$D$8),0)+MAX(G17*F17*($D$9-$D$10),0)+F17*$D$11+$D$12)</f>
        <v>1.6299108626292129E-9</v>
      </c>
      <c r="M17" s="18">
        <f t="shared" ref="M17:M80" si="8">$K$120*0.000084*(B17/10)^(-0.45)</f>
        <v>2.3506464812159982E-5</v>
      </c>
      <c r="N17" s="18">
        <f t="shared" si="0"/>
        <v>2.3508094723022611E-5</v>
      </c>
      <c r="O17" s="19">
        <f t="shared" si="1"/>
        <v>8.0495718631710878E-10</v>
      </c>
      <c r="P17" s="74">
        <f t="shared" si="2"/>
        <v>4.1169941684269892E-15</v>
      </c>
    </row>
    <row r="18" spans="2:16">
      <c r="B18" s="15">
        <f t="shared" ref="B18:B81" si="9">B17+6.5</f>
        <v>63</v>
      </c>
      <c r="C18" s="64">
        <v>10100</v>
      </c>
      <c r="D18" s="16">
        <v>3.15</v>
      </c>
      <c r="E18" s="120">
        <v>4.4279999999999999</v>
      </c>
      <c r="F18" s="16">
        <f t="shared" si="3"/>
        <v>6.8793176274536326E-5</v>
      </c>
      <c r="G18" s="16">
        <f t="shared" si="4"/>
        <v>0.59186601247109993</v>
      </c>
      <c r="H18" s="20">
        <v>0.29820000000000002</v>
      </c>
      <c r="I18" s="120">
        <v>5.7380000000000004</v>
      </c>
      <c r="J18" s="16">
        <f t="shared" si="5"/>
        <v>0.99919810990649005</v>
      </c>
      <c r="K18" s="17">
        <f t="shared" si="6"/>
        <v>8.715372692874054E-3</v>
      </c>
      <c r="L18" s="18">
        <f t="shared" si="7"/>
        <v>2.7837181760541637E-8</v>
      </c>
      <c r="M18" s="18">
        <f t="shared" si="8"/>
        <v>2.2382359851821667E-5</v>
      </c>
      <c r="N18" s="18">
        <f t="shared" si="0"/>
        <v>2.241019703358221E-5</v>
      </c>
      <c r="O18" s="19">
        <f t="shared" si="1"/>
        <v>5.0147101204161232E-10</v>
      </c>
      <c r="P18" s="74">
        <f t="shared" si="2"/>
        <v>3.1888750787692574E-15</v>
      </c>
    </row>
    <row r="19" spans="2:16">
      <c r="B19" s="15">
        <f t="shared" si="9"/>
        <v>69.5</v>
      </c>
      <c r="C19" s="64">
        <v>13400</v>
      </c>
      <c r="D19" s="16">
        <v>10.9</v>
      </c>
      <c r="E19" s="120">
        <v>3.4460000000000002</v>
      </c>
      <c r="F19" s="16">
        <f t="shared" si="3"/>
        <v>5.7630875955089938E-4</v>
      </c>
      <c r="G19" s="16">
        <f t="shared" si="4"/>
        <v>0.1628623359084736</v>
      </c>
      <c r="H19" s="20">
        <v>0.26129999999999998</v>
      </c>
      <c r="I19" s="120">
        <v>4.4050000000000002</v>
      </c>
      <c r="J19" s="16">
        <f t="shared" si="5"/>
        <v>0.9958054050535744</v>
      </c>
      <c r="K19" s="17">
        <f t="shared" si="6"/>
        <v>6.8991031181680805E-3</v>
      </c>
      <c r="L19" s="18">
        <f t="shared" si="7"/>
        <v>1.8367997484335714E-7</v>
      </c>
      <c r="M19" s="18">
        <f t="shared" si="8"/>
        <v>2.1414895476888389E-5</v>
      </c>
      <c r="N19" s="18">
        <f t="shared" si="0"/>
        <v>2.1598575451731746E-5</v>
      </c>
      <c r="O19" s="19">
        <f t="shared" si="1"/>
        <v>3.5449255799482839E-10</v>
      </c>
      <c r="P19" s="74">
        <f t="shared" si="2"/>
        <v>2.7433884491690953E-15</v>
      </c>
    </row>
    <row r="20" spans="2:16">
      <c r="B20" s="15">
        <f t="shared" si="9"/>
        <v>76</v>
      </c>
      <c r="C20" s="64">
        <v>16700</v>
      </c>
      <c r="D20" s="16">
        <v>8.6549999999999994</v>
      </c>
      <c r="E20" s="120">
        <v>2.75</v>
      </c>
      <c r="F20" s="16">
        <f t="shared" si="3"/>
        <v>2.599658990647135E-3</v>
      </c>
      <c r="G20" s="16">
        <f t="shared" si="4"/>
        <v>0.2366773400095257</v>
      </c>
      <c r="H20" s="20">
        <v>0.23519999999999999</v>
      </c>
      <c r="I20" s="120">
        <v>3.464</v>
      </c>
      <c r="J20" s="16">
        <f t="shared" si="5"/>
        <v>0.98651185328047908</v>
      </c>
      <c r="K20" s="17">
        <f t="shared" si="6"/>
        <v>5.5767364601284663E-3</v>
      </c>
      <c r="L20" s="18">
        <f t="shared" si="7"/>
        <v>6.6368087673112832E-7</v>
      </c>
      <c r="M20" s="18">
        <f t="shared" si="8"/>
        <v>2.0570412681169214E-5</v>
      </c>
      <c r="N20" s="18">
        <f t="shared" si="0"/>
        <v>2.1234093557900343E-5</v>
      </c>
      <c r="O20" s="19">
        <f t="shared" si="1"/>
        <v>2.7224351059708575E-10</v>
      </c>
      <c r="P20" s="74">
        <f t="shared" si="2"/>
        <v>2.5193893850095466E-15</v>
      </c>
    </row>
    <row r="21" spans="2:16">
      <c r="B21" s="15">
        <f t="shared" si="9"/>
        <v>82.5</v>
      </c>
      <c r="C21" s="64">
        <v>20000</v>
      </c>
      <c r="D21" s="16">
        <v>7.0140000000000002</v>
      </c>
      <c r="E21" s="120">
        <v>2.2410000000000001</v>
      </c>
      <c r="F21" s="16">
        <f t="shared" si="3"/>
        <v>7.8233337854227737E-3</v>
      </c>
      <c r="G21" s="16">
        <f t="shared" si="4"/>
        <v>0.31104085775932072</v>
      </c>
      <c r="H21" s="20">
        <v>0.21609999999999999</v>
      </c>
      <c r="I21" s="120">
        <v>2.78</v>
      </c>
      <c r="J21" s="16">
        <f t="shared" si="5"/>
        <v>0.96847342695369543</v>
      </c>
      <c r="K21" s="17">
        <f t="shared" si="6"/>
        <v>4.5872887040083205E-3</v>
      </c>
      <c r="L21" s="18">
        <f t="shared" si="7"/>
        <v>1.6133107050072375E-6</v>
      </c>
      <c r="M21" s="18">
        <f t="shared" si="8"/>
        <v>1.9824618756062387E-5</v>
      </c>
      <c r="N21" s="18">
        <f t="shared" si="0"/>
        <v>2.1437929461069625E-5</v>
      </c>
      <c r="O21" s="19">
        <f t="shared" si="1"/>
        <v>2.2331247661094966E-10</v>
      </c>
      <c r="P21" s="74">
        <f t="shared" si="2"/>
        <v>2.4351821932935474E-15</v>
      </c>
    </row>
    <row r="22" spans="2:16">
      <c r="B22" s="15">
        <f t="shared" si="9"/>
        <v>89</v>
      </c>
      <c r="C22" s="64">
        <f>C21-215</f>
        <v>19785</v>
      </c>
      <c r="D22" s="16">
        <v>5.7830000000000004</v>
      </c>
      <c r="E22" s="120">
        <v>7.4660000000000002</v>
      </c>
      <c r="F22" s="16">
        <f t="shared" si="3"/>
        <v>9.588109566347667E-8</v>
      </c>
      <c r="G22" s="16">
        <f t="shared" si="4"/>
        <v>0.38179574970788682</v>
      </c>
      <c r="H22" s="20">
        <v>0.20150000000000001</v>
      </c>
      <c r="I22" s="120">
        <v>2.2719999999999998</v>
      </c>
      <c r="J22" s="16">
        <f t="shared" si="5"/>
        <v>0.94077120776478407</v>
      </c>
      <c r="K22" s="17">
        <f t="shared" si="6"/>
        <v>3.8297308686302094E-3</v>
      </c>
      <c r="L22" s="18">
        <f t="shared" si="7"/>
        <v>1.6039231992813823E-11</v>
      </c>
      <c r="M22" s="18">
        <f t="shared" si="8"/>
        <v>1.9159475597088944E-5</v>
      </c>
      <c r="N22" s="18">
        <f t="shared" si="0"/>
        <v>1.9159491636320936E-5</v>
      </c>
      <c r="O22" s="19">
        <f t="shared" si="1"/>
        <v>2.1151597021028055E-10</v>
      </c>
      <c r="P22" s="74">
        <f t="shared" si="2"/>
        <v>2.6843166876684893E-15</v>
      </c>
    </row>
    <row r="23" spans="2:16">
      <c r="B23" s="15">
        <f t="shared" si="9"/>
        <v>95.5</v>
      </c>
      <c r="C23" s="64">
        <f t="shared" ref="C23:C86" si="10">C22-215</f>
        <v>19570</v>
      </c>
      <c r="D23" s="16">
        <v>4.835</v>
      </c>
      <c r="E23" s="120">
        <v>6.2370000000000001</v>
      </c>
      <c r="F23" s="16">
        <f t="shared" si="3"/>
        <v>1.3709775944566817E-6</v>
      </c>
      <c r="G23" s="16">
        <f t="shared" si="4"/>
        <v>0.4470756318104297</v>
      </c>
      <c r="H23" s="20">
        <v>0.19009999999999999</v>
      </c>
      <c r="I23" s="120">
        <v>1.8859999999999999</v>
      </c>
      <c r="J23" s="16">
        <f t="shared" si="5"/>
        <v>0.90436290393138075</v>
      </c>
      <c r="K23" s="17">
        <f t="shared" si="6"/>
        <v>3.238235628524102E-3</v>
      </c>
      <c r="L23" s="18">
        <f t="shared" si="7"/>
        <v>1.8646047604582328E-10</v>
      </c>
      <c r="M23" s="18">
        <f t="shared" si="8"/>
        <v>1.856126639476423E-5</v>
      </c>
      <c r="N23" s="18">
        <f t="shared" si="0"/>
        <v>1.8561452855240277E-5</v>
      </c>
      <c r="O23" s="19">
        <f t="shared" si="1"/>
        <v>2.1136690120174344E-10</v>
      </c>
      <c r="P23" s="74">
        <f t="shared" si="2"/>
        <v>3.0885475916329666E-15</v>
      </c>
    </row>
    <row r="24" spans="2:16">
      <c r="B24" s="15">
        <f t="shared" si="9"/>
        <v>102</v>
      </c>
      <c r="C24" s="64">
        <f t="shared" si="10"/>
        <v>19355</v>
      </c>
      <c r="D24" s="16">
        <v>4.0890000000000004</v>
      </c>
      <c r="E24" s="120">
        <v>5.2779999999999996</v>
      </c>
      <c r="F24" s="16">
        <f t="shared" si="3"/>
        <v>1.092746732910706E-5</v>
      </c>
      <c r="G24" s="16">
        <f t="shared" si="4"/>
        <v>0.5062024960131114</v>
      </c>
      <c r="H24" s="20">
        <v>0.18090000000000001</v>
      </c>
      <c r="I24" s="120">
        <v>1.587</v>
      </c>
      <c r="J24" s="16">
        <f t="shared" si="5"/>
        <v>0.86138022144634074</v>
      </c>
      <c r="K24" s="17">
        <f t="shared" si="6"/>
        <v>2.7685225315329338E-3</v>
      </c>
      <c r="L24" s="18">
        <f t="shared" si="7"/>
        <v>1.2104993317932833E-9</v>
      </c>
      <c r="M24" s="18">
        <f t="shared" si="8"/>
        <v>1.8019346799772772E-5</v>
      </c>
      <c r="N24" s="18">
        <f t="shared" si="0"/>
        <v>1.8020557299104566E-5</v>
      </c>
      <c r="O24" s="19">
        <f t="shared" si="1"/>
        <v>2.1392532479832457E-10</v>
      </c>
      <c r="P24" s="74">
        <f t="shared" si="2"/>
        <v>3.5659324977819759E-15</v>
      </c>
    </row>
    <row r="25" spans="2:16">
      <c r="B25" s="15">
        <f t="shared" si="9"/>
        <v>108.5</v>
      </c>
      <c r="C25" s="64">
        <f t="shared" si="10"/>
        <v>19140</v>
      </c>
      <c r="D25" s="16">
        <v>3.492</v>
      </c>
      <c r="E25" s="120">
        <v>4.516</v>
      </c>
      <c r="F25" s="16">
        <f t="shared" si="3"/>
        <v>5.6862072683793411E-5</v>
      </c>
      <c r="G25" s="16">
        <f t="shared" si="4"/>
        <v>0.55910499331618391</v>
      </c>
      <c r="H25" s="20">
        <v>0.1734</v>
      </c>
      <c r="I25" s="120">
        <v>1.3520000000000001</v>
      </c>
      <c r="J25" s="16">
        <f t="shared" si="5"/>
        <v>0.8144225567074509</v>
      </c>
      <c r="K25" s="17">
        <f t="shared" si="6"/>
        <v>2.3899768500029394E-3</v>
      </c>
      <c r="L25" s="18">
        <f t="shared" si="7"/>
        <v>5.142269998951469E-9</v>
      </c>
      <c r="M25" s="18">
        <f t="shared" si="8"/>
        <v>1.752531121371058E-5</v>
      </c>
      <c r="N25" s="18">
        <f t="shared" si="0"/>
        <v>1.7530453483709531E-5</v>
      </c>
      <c r="O25" s="19">
        <f t="shared" si="1"/>
        <v>2.1880448883036406E-10</v>
      </c>
      <c r="P25" s="74">
        <f t="shared" si="2"/>
        <v>4.1269221651892375E-15</v>
      </c>
    </row>
    <row r="26" spans="2:16">
      <c r="B26" s="15">
        <f t="shared" si="9"/>
        <v>115</v>
      </c>
      <c r="C26" s="64">
        <f t="shared" si="10"/>
        <v>18925</v>
      </c>
      <c r="D26" s="16">
        <v>3.008</v>
      </c>
      <c r="E26" s="120">
        <v>3.9020000000000001</v>
      </c>
      <c r="F26" s="16">
        <f t="shared" si="3"/>
        <v>2.147837177739327E-4</v>
      </c>
      <c r="G26" s="16">
        <f t="shared" si="4"/>
        <v>0.60602623607308448</v>
      </c>
      <c r="H26" s="20">
        <v>0.1671</v>
      </c>
      <c r="I26" s="120">
        <v>1.165</v>
      </c>
      <c r="J26" s="16">
        <f t="shared" si="5"/>
        <v>0.765926357126123</v>
      </c>
      <c r="K26" s="17">
        <f t="shared" si="6"/>
        <v>2.0809210868190926E-3</v>
      </c>
      <c r="L26" s="18">
        <f t="shared" si="7"/>
        <v>1.5907777114634267E-8</v>
      </c>
      <c r="M26" s="18">
        <f t="shared" si="8"/>
        <v>1.7072420258965356E-5</v>
      </c>
      <c r="N26" s="18">
        <f t="shared" si="0"/>
        <v>1.7088328036079989E-5</v>
      </c>
      <c r="O26" s="19">
        <f t="shared" si="1"/>
        <v>2.2565461048909905E-10</v>
      </c>
      <c r="P26" s="74">
        <f t="shared" si="2"/>
        <v>4.7813492356350382E-15</v>
      </c>
    </row>
    <row r="27" spans="2:16">
      <c r="B27" s="15">
        <f t="shared" si="9"/>
        <v>121.5</v>
      </c>
      <c r="C27" s="64">
        <f t="shared" si="10"/>
        <v>18710</v>
      </c>
      <c r="D27" s="16">
        <v>2.613</v>
      </c>
      <c r="E27" s="120">
        <v>3.4009999999999998</v>
      </c>
      <c r="F27" s="16">
        <f t="shared" si="3"/>
        <v>6.3526742880816705E-4</v>
      </c>
      <c r="G27" s="16">
        <f t="shared" si="4"/>
        <v>0.64722291985337055</v>
      </c>
      <c r="H27" s="20">
        <v>0.16170000000000001</v>
      </c>
      <c r="I27" s="120">
        <v>1.014</v>
      </c>
      <c r="J27" s="16">
        <f t="shared" si="5"/>
        <v>0.7176580912266135</v>
      </c>
      <c r="K27" s="17">
        <f t="shared" si="6"/>
        <v>1.8256811421567903E-3</v>
      </c>
      <c r="L27" s="18">
        <f t="shared" si="7"/>
        <v>3.8684060313497624E-8</v>
      </c>
      <c r="M27" s="18">
        <f t="shared" si="8"/>
        <v>1.6655197845569337E-5</v>
      </c>
      <c r="N27" s="18">
        <f t="shared" si="0"/>
        <v>1.6693881905882836E-5</v>
      </c>
      <c r="O27" s="19">
        <f t="shared" si="1"/>
        <v>2.3424234361439664E-10</v>
      </c>
      <c r="P27" s="74">
        <f t="shared" si="2"/>
        <v>5.5402394407864095E-15</v>
      </c>
    </row>
    <row r="28" spans="2:16">
      <c r="B28" s="15">
        <f t="shared" si="9"/>
        <v>128</v>
      </c>
      <c r="C28" s="64">
        <f t="shared" si="10"/>
        <v>18495</v>
      </c>
      <c r="D28" s="16">
        <v>2.2879999999999998</v>
      </c>
      <c r="E28" s="120">
        <v>2.9860000000000002</v>
      </c>
      <c r="F28" s="16">
        <f t="shared" si="3"/>
        <v>1.5598010467320247E-3</v>
      </c>
      <c r="G28" s="16">
        <f t="shared" si="4"/>
        <v>0.68321068294563503</v>
      </c>
      <c r="H28" s="20">
        <v>0.157</v>
      </c>
      <c r="I28" s="120">
        <v>0.89</v>
      </c>
      <c r="J28" s="16">
        <f t="shared" si="5"/>
        <v>0.67066012278047027</v>
      </c>
      <c r="K28" s="17">
        <f t="shared" si="6"/>
        <v>1.6127117248003911E-3</v>
      </c>
      <c r="L28" s="18">
        <f t="shared" si="7"/>
        <v>7.8418815707345408E-8</v>
      </c>
      <c r="M28" s="18">
        <f t="shared" si="8"/>
        <v>1.6269141436549047E-5</v>
      </c>
      <c r="N28" s="18">
        <f t="shared" si="0"/>
        <v>1.6347560252256393E-5</v>
      </c>
      <c r="O28" s="19">
        <f t="shared" si="1"/>
        <v>2.4447300848862279E-10</v>
      </c>
      <c r="P28" s="74">
        <f t="shared" si="2"/>
        <v>6.4174342908015204E-15</v>
      </c>
    </row>
    <row r="29" spans="2:16">
      <c r="B29" s="15">
        <f t="shared" si="9"/>
        <v>134.5</v>
      </c>
      <c r="C29" s="64">
        <f t="shared" si="10"/>
        <v>18280</v>
      </c>
      <c r="D29" s="16">
        <v>2.016</v>
      </c>
      <c r="E29" s="120">
        <v>2.64</v>
      </c>
      <c r="F29" s="16">
        <f t="shared" si="3"/>
        <v>3.2985246045972661E-3</v>
      </c>
      <c r="G29" s="16">
        <f t="shared" si="4"/>
        <v>0.71486325952317498</v>
      </c>
      <c r="H29" s="20">
        <v>0.15290000000000001</v>
      </c>
      <c r="I29" s="120">
        <v>0.78800000000000003</v>
      </c>
      <c r="J29" s="16">
        <f t="shared" si="5"/>
        <v>0.62618733396091319</v>
      </c>
      <c r="K29" s="17">
        <f t="shared" si="6"/>
        <v>1.4333671082930796E-3</v>
      </c>
      <c r="L29" s="18">
        <f t="shared" si="7"/>
        <v>1.3763379369135974E-7</v>
      </c>
      <c r="M29" s="18">
        <f t="shared" si="8"/>
        <v>1.591050971615558E-5</v>
      </c>
      <c r="N29" s="18">
        <f t="shared" si="0"/>
        <v>1.604814350984694E-5</v>
      </c>
      <c r="O29" s="19">
        <f t="shared" si="1"/>
        <v>2.5605722558068595E-10</v>
      </c>
      <c r="P29" s="74">
        <f t="shared" si="2"/>
        <v>7.4215083168323303E-15</v>
      </c>
    </row>
    <row r="30" spans="2:16">
      <c r="B30" s="15">
        <f t="shared" si="9"/>
        <v>141</v>
      </c>
      <c r="C30" s="64">
        <f t="shared" si="10"/>
        <v>18065</v>
      </c>
      <c r="D30" s="16">
        <v>1.7889999999999999</v>
      </c>
      <c r="E30" s="120">
        <v>2.3479999999999999</v>
      </c>
      <c r="F30" s="16">
        <f t="shared" si="3"/>
        <v>6.2059547767693915E-3</v>
      </c>
      <c r="G30" s="16">
        <f t="shared" si="4"/>
        <v>0.7423989587922627</v>
      </c>
      <c r="H30" s="20">
        <v>0.14929999999999999</v>
      </c>
      <c r="I30" s="120">
        <v>0.70309999999999995</v>
      </c>
      <c r="J30" s="16">
        <f t="shared" si="5"/>
        <v>0.58462040912245272</v>
      </c>
      <c r="K30" s="17">
        <f t="shared" si="6"/>
        <v>1.2810762594110444E-3</v>
      </c>
      <c r="L30" s="18">
        <f t="shared" si="7"/>
        <v>2.1609576475957915E-7</v>
      </c>
      <c r="M30" s="18">
        <f t="shared" si="8"/>
        <v>1.5576164329781754E-5</v>
      </c>
      <c r="N30" s="18">
        <f t="shared" si="0"/>
        <v>1.5792260094541334E-5</v>
      </c>
      <c r="O30" s="19">
        <f t="shared" si="1"/>
        <v>2.688851994437423E-10</v>
      </c>
      <c r="P30" s="74">
        <f t="shared" si="2"/>
        <v>8.564769847315017E-15</v>
      </c>
    </row>
    <row r="31" spans="2:16">
      <c r="B31" s="15">
        <f t="shared" si="9"/>
        <v>147.5</v>
      </c>
      <c r="C31" s="64">
        <f t="shared" si="10"/>
        <v>17850</v>
      </c>
      <c r="D31" s="16">
        <v>1.597</v>
      </c>
      <c r="E31" s="120">
        <v>2.1</v>
      </c>
      <c r="F31" s="16">
        <f t="shared" si="3"/>
        <v>1.061539471366117E-2</v>
      </c>
      <c r="G31" s="16">
        <f t="shared" si="4"/>
        <v>0.76651539198830076</v>
      </c>
      <c r="H31" s="20">
        <v>0.14599999999999999</v>
      </c>
      <c r="I31" s="120">
        <v>0.63160000000000005</v>
      </c>
      <c r="J31" s="16">
        <f t="shared" si="5"/>
        <v>0.54604354516444287</v>
      </c>
      <c r="K31" s="17">
        <f t="shared" si="6"/>
        <v>1.1507777671587087E-3</v>
      </c>
      <c r="L31" s="18">
        <f t="shared" si="7"/>
        <v>3.1015803463228911E-7</v>
      </c>
      <c r="M31" s="18">
        <f t="shared" si="8"/>
        <v>1.5263450125357563E-5</v>
      </c>
      <c r="N31" s="18">
        <f t="shared" si="0"/>
        <v>1.5573608159989851E-5</v>
      </c>
      <c r="O31" s="19">
        <f t="shared" si="1"/>
        <v>2.8287812303295714E-10</v>
      </c>
      <c r="P31" s="74">
        <f t="shared" si="2"/>
        <v>9.8603873664039268E-15</v>
      </c>
    </row>
    <row r="32" spans="2:16">
      <c r="B32" s="15">
        <f t="shared" si="9"/>
        <v>154</v>
      </c>
      <c r="C32" s="64">
        <f t="shared" si="10"/>
        <v>17635</v>
      </c>
      <c r="D32" s="16">
        <v>1.4330000000000001</v>
      </c>
      <c r="E32" s="120">
        <v>1.8879999999999999</v>
      </c>
      <c r="F32" s="16">
        <f t="shared" si="3"/>
        <v>1.6796646929885119E-2</v>
      </c>
      <c r="G32" s="16">
        <f t="shared" si="4"/>
        <v>0.78773424385365431</v>
      </c>
      <c r="H32" s="20">
        <v>0.14299999999999999</v>
      </c>
      <c r="I32" s="120">
        <v>0.57120000000000004</v>
      </c>
      <c r="J32" s="16">
        <f t="shared" si="5"/>
        <v>0.51067236321935705</v>
      </c>
      <c r="K32" s="17">
        <f t="shared" si="6"/>
        <v>1.0385254781657919E-3</v>
      </c>
      <c r="L32" s="18">
        <f t="shared" si="7"/>
        <v>4.1423325747520516E-7</v>
      </c>
      <c r="M32" s="18">
        <f t="shared" si="8"/>
        <v>1.4970103283748306E-5</v>
      </c>
      <c r="N32" s="18">
        <f t="shared" si="0"/>
        <v>1.5384336541223512E-5</v>
      </c>
      <c r="O32" s="19">
        <f t="shared" si="1"/>
        <v>2.9780189332281015E-10</v>
      </c>
      <c r="P32" s="74">
        <f t="shared" si="2"/>
        <v>1.1315649074012284E-14</v>
      </c>
    </row>
    <row r="33" spans="2:19">
      <c r="B33" s="15">
        <f t="shared" si="9"/>
        <v>160.5</v>
      </c>
      <c r="C33" s="64">
        <f t="shared" si="10"/>
        <v>17420</v>
      </c>
      <c r="D33" s="16">
        <v>1.2929999999999999</v>
      </c>
      <c r="E33" s="120">
        <v>1.704</v>
      </c>
      <c r="F33" s="16">
        <f t="shared" si="3"/>
        <v>2.5014290435623639E-2</v>
      </c>
      <c r="G33" s="16">
        <f t="shared" si="4"/>
        <v>0.80631201177533418</v>
      </c>
      <c r="H33" s="20">
        <v>0.14030000000000001</v>
      </c>
      <c r="I33" s="120">
        <v>0.51949999999999996</v>
      </c>
      <c r="J33" s="16">
        <f t="shared" si="5"/>
        <v>0.47821178927016994</v>
      </c>
      <c r="K33" s="17">
        <f t="shared" si="6"/>
        <v>9.4120859339387518E-4</v>
      </c>
      <c r="L33" s="18">
        <f t="shared" si="7"/>
        <v>5.2358548592990011E-7</v>
      </c>
      <c r="M33" s="18">
        <f t="shared" si="8"/>
        <v>1.4694179966179119E-5</v>
      </c>
      <c r="N33" s="18">
        <f t="shared" si="0"/>
        <v>1.5217765452109019E-5</v>
      </c>
      <c r="O33" s="19">
        <f t="shared" si="1"/>
        <v>3.1364310436212064E-10</v>
      </c>
      <c r="P33" s="74">
        <f t="shared" si="2"/>
        <v>1.2944831195932538E-14</v>
      </c>
    </row>
    <row r="34" spans="2:19">
      <c r="B34" s="15">
        <f t="shared" si="9"/>
        <v>167</v>
      </c>
      <c r="C34" s="64">
        <f t="shared" si="10"/>
        <v>17205</v>
      </c>
      <c r="D34" s="16">
        <v>1.173</v>
      </c>
      <c r="E34" s="120">
        <v>1.546</v>
      </c>
      <c r="F34" s="16">
        <f t="shared" si="3"/>
        <v>3.5213808020059349E-2</v>
      </c>
      <c r="G34" s="16">
        <f t="shared" si="4"/>
        <v>0.82258414304548633</v>
      </c>
      <c r="H34" s="20">
        <v>0.13780000000000001</v>
      </c>
      <c r="I34" s="120">
        <v>0.47520000000000001</v>
      </c>
      <c r="J34" s="16">
        <f t="shared" si="5"/>
        <v>0.44868503013478267</v>
      </c>
      <c r="K34" s="17">
        <f t="shared" si="6"/>
        <v>8.563499364166782E-4</v>
      </c>
      <c r="L34" s="18">
        <f t="shared" si="7"/>
        <v>6.2925359678464142E-7</v>
      </c>
      <c r="M34" s="18">
        <f t="shared" si="8"/>
        <v>1.4434000269024253E-5</v>
      </c>
      <c r="N34" s="18">
        <f t="shared" si="0"/>
        <v>1.5063253865808895E-5</v>
      </c>
      <c r="O34" s="19">
        <f t="shared" si="1"/>
        <v>3.3011948078880311E-10</v>
      </c>
      <c r="P34" s="74">
        <f t="shared" si="2"/>
        <v>1.4750769272249733E-14</v>
      </c>
    </row>
    <row r="35" spans="2:19">
      <c r="B35" s="15">
        <f t="shared" si="9"/>
        <v>173.5</v>
      </c>
      <c r="C35" s="64">
        <f t="shared" si="10"/>
        <v>16990</v>
      </c>
      <c r="D35" s="16">
        <v>1.0680000000000001</v>
      </c>
      <c r="E35" s="120">
        <v>1.4079999999999999</v>
      </c>
      <c r="F35" s="16">
        <f t="shared" si="3"/>
        <v>4.7471962755081858E-2</v>
      </c>
      <c r="G35" s="16">
        <f t="shared" si="4"/>
        <v>0.8370914124997777</v>
      </c>
      <c r="H35" s="20">
        <v>0.13550000000000001</v>
      </c>
      <c r="I35" s="120">
        <v>0.43690000000000001</v>
      </c>
      <c r="J35" s="16">
        <f t="shared" si="5"/>
        <v>0.42181043676278762</v>
      </c>
      <c r="K35" s="17">
        <f t="shared" si="6"/>
        <v>7.8195851075723482E-4</v>
      </c>
      <c r="L35" s="18">
        <f t="shared" si="7"/>
        <v>7.2825221195685537E-7</v>
      </c>
      <c r="M35" s="18">
        <f t="shared" si="8"/>
        <v>1.4188103746445641E-5</v>
      </c>
      <c r="N35" s="18">
        <f t="shared" si="0"/>
        <v>1.4916355958402496E-5</v>
      </c>
      <c r="O35" s="19">
        <f t="shared" si="1"/>
        <v>3.4716599387469884E-10</v>
      </c>
      <c r="P35" s="74">
        <f t="shared" si="2"/>
        <v>1.6743517887329361E-14</v>
      </c>
    </row>
    <row r="36" spans="2:19">
      <c r="B36" s="15">
        <f t="shared" si="9"/>
        <v>180</v>
      </c>
      <c r="C36" s="64">
        <f t="shared" si="10"/>
        <v>16775</v>
      </c>
      <c r="D36" s="16">
        <v>0.9768</v>
      </c>
      <c r="E36" s="120">
        <v>1.2869999999999999</v>
      </c>
      <c r="F36" s="16">
        <f t="shared" si="3"/>
        <v>6.1685184405036127E-2</v>
      </c>
      <c r="G36" s="16">
        <f t="shared" si="4"/>
        <v>0.84989947601773674</v>
      </c>
      <c r="H36" s="20">
        <v>0.13339999999999999</v>
      </c>
      <c r="I36" s="120">
        <v>0.40350000000000003</v>
      </c>
      <c r="J36" s="16">
        <f t="shared" si="5"/>
        <v>0.3973043885482076</v>
      </c>
      <c r="K36" s="17">
        <f t="shared" si="6"/>
        <v>7.1642034252109564E-4</v>
      </c>
      <c r="L36" s="18">
        <f t="shared" si="7"/>
        <v>8.1665133823469603E-7</v>
      </c>
      <c r="M36" s="18">
        <f t="shared" si="8"/>
        <v>1.3955213778100646E-5</v>
      </c>
      <c r="N36" s="18">
        <f t="shared" si="0"/>
        <v>1.4771865116335341E-5</v>
      </c>
      <c r="O36" s="19">
        <f t="shared" si="1"/>
        <v>3.6472184093995261E-10</v>
      </c>
      <c r="P36" s="74">
        <f t="shared" si="2"/>
        <v>1.8932909361529767E-14</v>
      </c>
    </row>
    <row r="37" spans="2:19">
      <c r="B37" s="15">
        <f t="shared" si="9"/>
        <v>186.5</v>
      </c>
      <c r="C37" s="64">
        <f t="shared" si="10"/>
        <v>16560</v>
      </c>
      <c r="D37" s="16">
        <v>0.89690000000000003</v>
      </c>
      <c r="E37" s="120">
        <v>1.181</v>
      </c>
      <c r="F37" s="16">
        <f t="shared" si="3"/>
        <v>7.7593276390432592E-2</v>
      </c>
      <c r="G37" s="16">
        <f t="shared" si="4"/>
        <v>0.8612815280580538</v>
      </c>
      <c r="H37" s="20">
        <v>0.13139999999999999</v>
      </c>
      <c r="I37" s="120">
        <v>0.37440000000000001</v>
      </c>
      <c r="J37" s="16">
        <f t="shared" si="5"/>
        <v>0.37510334817579694</v>
      </c>
      <c r="K37" s="17">
        <f t="shared" si="6"/>
        <v>6.5841670513577062E-4</v>
      </c>
      <c r="L37" s="18">
        <f t="shared" si="7"/>
        <v>8.9137207836450389E-7</v>
      </c>
      <c r="M37" s="18">
        <f t="shared" si="8"/>
        <v>1.3734208773351735E-5</v>
      </c>
      <c r="N37" s="18">
        <f t="shared" si="0"/>
        <v>1.462558085171624E-5</v>
      </c>
      <c r="O37" s="19">
        <f t="shared" si="1"/>
        <v>3.8253582927224804E-10</v>
      </c>
      <c r="P37" s="74">
        <f t="shared" si="2"/>
        <v>2.1317700927521945E-14</v>
      </c>
    </row>
    <row r="38" spans="2:19">
      <c r="B38" s="15">
        <f t="shared" si="9"/>
        <v>193</v>
      </c>
      <c r="C38" s="64">
        <f t="shared" si="10"/>
        <v>16345</v>
      </c>
      <c r="D38" s="16">
        <v>0.8266</v>
      </c>
      <c r="E38" s="120">
        <v>1.087</v>
      </c>
      <c r="F38" s="16">
        <f t="shared" si="3"/>
        <v>9.5101408387297082E-2</v>
      </c>
      <c r="G38" s="16">
        <f t="shared" si="4"/>
        <v>0.87142201645949524</v>
      </c>
      <c r="H38" s="20">
        <v>0.1295</v>
      </c>
      <c r="I38" s="120">
        <v>0.3488</v>
      </c>
      <c r="J38" s="16">
        <f t="shared" si="5"/>
        <v>0.35489326805998833</v>
      </c>
      <c r="K38" s="17">
        <f t="shared" si="6"/>
        <v>6.0686218399238904E-4</v>
      </c>
      <c r="L38" s="18">
        <f t="shared" si="7"/>
        <v>9.5274027076567021E-7</v>
      </c>
      <c r="M38" s="18">
        <f t="shared" si="8"/>
        <v>1.352409871234752E-5</v>
      </c>
      <c r="N38" s="18">
        <f t="shared" si="0"/>
        <v>1.447683898311319E-5</v>
      </c>
      <c r="O38" s="19">
        <f t="shared" si="1"/>
        <v>4.0062844325776949E-10</v>
      </c>
      <c r="P38" s="74">
        <f t="shared" si="2"/>
        <v>2.3909306079894606E-14</v>
      </c>
    </row>
    <row r="39" spans="2:19">
      <c r="B39" s="15">
        <f t="shared" si="9"/>
        <v>199.5</v>
      </c>
      <c r="C39" s="64">
        <f t="shared" si="10"/>
        <v>16130</v>
      </c>
      <c r="D39" s="16">
        <v>0.76439999999999997</v>
      </c>
      <c r="E39" s="120">
        <v>1.0049999999999999</v>
      </c>
      <c r="F39" s="16">
        <f t="shared" si="3"/>
        <v>0.11357152094854893</v>
      </c>
      <c r="G39" s="16">
        <f t="shared" si="4"/>
        <v>0.88049361731902798</v>
      </c>
      <c r="H39" s="20">
        <v>0.12770000000000001</v>
      </c>
      <c r="I39" s="120">
        <v>0.32619999999999999</v>
      </c>
      <c r="J39" s="16">
        <f t="shared" si="5"/>
        <v>0.33650535760161726</v>
      </c>
      <c r="K39" s="17">
        <f t="shared" si="6"/>
        <v>5.608572898772986E-4</v>
      </c>
      <c r="L39" s="18">
        <f t="shared" si="7"/>
        <v>9.9707623619153801E-7</v>
      </c>
      <c r="M39" s="18">
        <f t="shared" si="8"/>
        <v>1.3324005891820241E-5</v>
      </c>
      <c r="N39" s="18">
        <f t="shared" si="0"/>
        <v>1.4321082128011779E-5</v>
      </c>
      <c r="O39" s="19">
        <f t="shared" si="1"/>
        <v>4.1884792217417651E-10</v>
      </c>
      <c r="P39" s="74">
        <f t="shared" si="2"/>
        <v>2.6708699362931626E-14</v>
      </c>
    </row>
    <row r="40" spans="2:19">
      <c r="B40" s="15">
        <f t="shared" si="9"/>
        <v>206</v>
      </c>
      <c r="C40" s="64">
        <f t="shared" si="10"/>
        <v>15915</v>
      </c>
      <c r="D40" s="16">
        <v>0.70920000000000005</v>
      </c>
      <c r="E40" s="120">
        <v>0.93100000000000005</v>
      </c>
      <c r="F40" s="16">
        <f t="shared" si="3"/>
        <v>0.13330047345544407</v>
      </c>
      <c r="G40" s="16">
        <f t="shared" si="4"/>
        <v>0.88862336025067168</v>
      </c>
      <c r="H40" s="20">
        <v>0.126</v>
      </c>
      <c r="I40" s="120">
        <v>0.30620000000000003</v>
      </c>
      <c r="J40" s="16">
        <f t="shared" si="5"/>
        <v>0.31979292152373906</v>
      </c>
      <c r="K40" s="17">
        <f t="shared" si="6"/>
        <v>5.19651860676357E-4</v>
      </c>
      <c r="L40" s="18">
        <f t="shared" si="7"/>
        <v>1.0304831402574355E-6</v>
      </c>
      <c r="M40" s="18">
        <f t="shared" si="8"/>
        <v>1.3133149012033354E-5</v>
      </c>
      <c r="N40" s="18">
        <f t="shared" si="0"/>
        <v>1.416363215229079E-5</v>
      </c>
      <c r="O40" s="19">
        <f t="shared" si="1"/>
        <v>4.3716407745570865E-10</v>
      </c>
      <c r="P40" s="74">
        <f t="shared" si="2"/>
        <v>2.972278383506497E-14</v>
      </c>
      <c r="S40" s="51"/>
    </row>
    <row r="41" spans="2:19">
      <c r="B41" s="15">
        <f t="shared" si="9"/>
        <v>212.5</v>
      </c>
      <c r="C41" s="64">
        <f t="shared" si="10"/>
        <v>15700</v>
      </c>
      <c r="D41" s="16">
        <v>0.66</v>
      </c>
      <c r="E41" s="120">
        <v>0.86539999999999995</v>
      </c>
      <c r="F41" s="16">
        <f t="shared" si="3"/>
        <v>0.15363766092630676</v>
      </c>
      <c r="G41" s="16">
        <f t="shared" si="4"/>
        <v>0.89593268247140612</v>
      </c>
      <c r="H41" s="20">
        <v>0.1244</v>
      </c>
      <c r="I41" s="120">
        <v>0.2883</v>
      </c>
      <c r="J41" s="16">
        <f t="shared" si="5"/>
        <v>0.30447616646287934</v>
      </c>
      <c r="K41" s="17">
        <f t="shared" si="6"/>
        <v>4.8261654616800953E-4</v>
      </c>
      <c r="L41" s="18">
        <f t="shared" si="7"/>
        <v>1.0502507838918931E-6</v>
      </c>
      <c r="M41" s="18">
        <f t="shared" si="8"/>
        <v>1.2950829939856986E-5</v>
      </c>
      <c r="N41" s="18">
        <f t="shared" si="0"/>
        <v>1.400108072374888E-5</v>
      </c>
      <c r="O41" s="19">
        <f t="shared" si="1"/>
        <v>4.5563240658120761E-10</v>
      </c>
      <c r="P41" s="74">
        <f t="shared" si="2"/>
        <v>3.2964238562809039E-14</v>
      </c>
      <c r="R41" s="51"/>
    </row>
    <row r="42" spans="2:19">
      <c r="B42" s="15">
        <f t="shared" si="9"/>
        <v>219</v>
      </c>
      <c r="C42" s="64">
        <f t="shared" si="10"/>
        <v>15485</v>
      </c>
      <c r="D42" s="16">
        <v>0.6159</v>
      </c>
      <c r="E42" s="120">
        <v>0.80659999999999998</v>
      </c>
      <c r="F42" s="16">
        <f t="shared" si="3"/>
        <v>0.17449037438125967</v>
      </c>
      <c r="G42" s="16">
        <f t="shared" si="4"/>
        <v>0.90253541368931911</v>
      </c>
      <c r="H42" s="20">
        <v>0.1229</v>
      </c>
      <c r="I42" s="120">
        <v>0.27239999999999998</v>
      </c>
      <c r="J42" s="16">
        <f t="shared" si="5"/>
        <v>0.29057925922253469</v>
      </c>
      <c r="K42" s="17">
        <f t="shared" si="6"/>
        <v>4.4922040786818526E-4</v>
      </c>
      <c r="L42" s="18">
        <f t="shared" si="7"/>
        <v>1.0596103176318146E-6</v>
      </c>
      <c r="M42" s="18">
        <f t="shared" si="8"/>
        <v>1.277642263126627E-5</v>
      </c>
      <c r="N42" s="18">
        <f t="shared" si="0"/>
        <v>1.3836032948898083E-5</v>
      </c>
      <c r="O42" s="19">
        <f t="shared" si="1"/>
        <v>4.7399543888150527E-10</v>
      </c>
      <c r="P42" s="74">
        <f t="shared" si="2"/>
        <v>3.6422769594448582E-14</v>
      </c>
      <c r="S42" s="51"/>
    </row>
    <row r="43" spans="2:19">
      <c r="B43" s="15">
        <f t="shared" si="9"/>
        <v>225.5</v>
      </c>
      <c r="C43" s="64">
        <f t="shared" si="10"/>
        <v>15270</v>
      </c>
      <c r="D43" s="16">
        <v>0.57640000000000002</v>
      </c>
      <c r="E43" s="120">
        <v>0.75380000000000003</v>
      </c>
      <c r="F43" s="16">
        <f t="shared" si="3"/>
        <v>0.1956163179028273</v>
      </c>
      <c r="G43" s="16">
        <f t="shared" si="4"/>
        <v>0.90849072530340236</v>
      </c>
      <c r="H43" s="20">
        <v>0.12139999999999999</v>
      </c>
      <c r="I43" s="120">
        <v>0.2581</v>
      </c>
      <c r="J43" s="16">
        <f t="shared" si="5"/>
        <v>0.27783887487944925</v>
      </c>
      <c r="K43" s="17">
        <f t="shared" si="6"/>
        <v>4.1901318704891507E-4</v>
      </c>
      <c r="L43" s="18">
        <f t="shared" si="7"/>
        <v>1.059463828908621E-6</v>
      </c>
      <c r="M43" s="18">
        <f t="shared" si="8"/>
        <v>1.2609363808445081E-5</v>
      </c>
      <c r="N43" s="18">
        <f t="shared" si="0"/>
        <v>1.3668827637353703E-5</v>
      </c>
      <c r="O43" s="19">
        <f t="shared" si="1"/>
        <v>4.9240965518752523E-10</v>
      </c>
      <c r="P43" s="74">
        <f t="shared" si="2"/>
        <v>4.0117164260072903E-14</v>
      </c>
    </row>
    <row r="44" spans="2:19">
      <c r="B44" s="15">
        <f t="shared" si="9"/>
        <v>232</v>
      </c>
      <c r="C44" s="64">
        <f t="shared" si="10"/>
        <v>15055</v>
      </c>
      <c r="D44" s="16">
        <v>0.54079999999999995</v>
      </c>
      <c r="E44" s="120">
        <v>0.70620000000000005</v>
      </c>
      <c r="F44" s="16">
        <f t="shared" si="3"/>
        <v>0.21684555650728685</v>
      </c>
      <c r="G44" s="16">
        <f t="shared" si="4"/>
        <v>0.91389170429681965</v>
      </c>
      <c r="H44" s="20">
        <v>0.12</v>
      </c>
      <c r="I44" s="120">
        <v>0.2452</v>
      </c>
      <c r="J44" s="16">
        <f t="shared" si="5"/>
        <v>0.26614806929320078</v>
      </c>
      <c r="K44" s="17">
        <f t="shared" si="6"/>
        <v>3.9161116669541749E-4</v>
      </c>
      <c r="L44" s="18">
        <f t="shared" si="7"/>
        <v>1.0514729309590133E-6</v>
      </c>
      <c r="M44" s="18">
        <f t="shared" si="8"/>
        <v>1.2449145071860299E-5</v>
      </c>
      <c r="N44" s="18">
        <f t="shared" si="0"/>
        <v>1.3500618002819312E-5</v>
      </c>
      <c r="O44" s="19">
        <f t="shared" si="1"/>
        <v>5.1085188528145365E-10</v>
      </c>
      <c r="P44" s="74">
        <f t="shared" si="2"/>
        <v>4.4053614238258263E-14</v>
      </c>
    </row>
    <row r="45" spans="2:19">
      <c r="B45" s="15">
        <f t="shared" si="9"/>
        <v>238.5</v>
      </c>
      <c r="C45" s="64">
        <f t="shared" si="10"/>
        <v>14840</v>
      </c>
      <c r="D45" s="16">
        <v>0.50870000000000004</v>
      </c>
      <c r="E45" s="120">
        <v>0.66320000000000001</v>
      </c>
      <c r="F45" s="16">
        <f t="shared" si="3"/>
        <v>0.23799719288049226</v>
      </c>
      <c r="G45" s="16">
        <f t="shared" si="4"/>
        <v>0.91878921166735528</v>
      </c>
      <c r="H45" s="20">
        <v>0.1187</v>
      </c>
      <c r="I45" s="120">
        <v>0.23350000000000001</v>
      </c>
      <c r="J45" s="16">
        <f t="shared" si="5"/>
        <v>0.2553801803133201</v>
      </c>
      <c r="K45" s="17">
        <f t="shared" si="6"/>
        <v>3.6668582245009572E-4</v>
      </c>
      <c r="L45" s="18">
        <f t="shared" si="7"/>
        <v>1.0368843810510115E-6</v>
      </c>
      <c r="M45" s="18">
        <f t="shared" si="8"/>
        <v>1.229530619308185E-5</v>
      </c>
      <c r="N45" s="18">
        <f t="shared" si="0"/>
        <v>1.3332190574132862E-5</v>
      </c>
      <c r="O45" s="19">
        <f t="shared" si="1"/>
        <v>5.2936073275451874E-10</v>
      </c>
      <c r="P45" s="74">
        <f t="shared" si="2"/>
        <v>4.8243528445240176E-14</v>
      </c>
    </row>
    <row r="46" spans="2:19">
      <c r="B46" s="15">
        <f t="shared" si="9"/>
        <v>245</v>
      </c>
      <c r="C46" s="64">
        <f t="shared" si="10"/>
        <v>14625</v>
      </c>
      <c r="D46" s="16">
        <v>0.47949999999999998</v>
      </c>
      <c r="E46" s="120">
        <v>0.62419999999999998</v>
      </c>
      <c r="F46" s="16">
        <f t="shared" si="3"/>
        <v>0.25896019923461644</v>
      </c>
      <c r="G46" s="16">
        <f t="shared" si="4"/>
        <v>0.92326705743163773</v>
      </c>
      <c r="H46" s="20">
        <v>0.1174</v>
      </c>
      <c r="I46" s="120">
        <v>0.22289999999999999</v>
      </c>
      <c r="J46" s="16">
        <f t="shared" si="5"/>
        <v>0.24548415474946017</v>
      </c>
      <c r="K46" s="17">
        <f t="shared" si="6"/>
        <v>3.439546541264417E-4</v>
      </c>
      <c r="L46" s="18">
        <f t="shared" si="7"/>
        <v>1.0172839371954919E-6</v>
      </c>
      <c r="M46" s="18">
        <f t="shared" si="8"/>
        <v>1.2147429384756757E-5</v>
      </c>
      <c r="N46" s="18">
        <f t="shared" si="0"/>
        <v>1.3164713321952248E-5</v>
      </c>
      <c r="O46" s="19">
        <f t="shared" si="1"/>
        <v>5.4785997004049709E-10</v>
      </c>
      <c r="P46" s="74">
        <f t="shared" si="2"/>
        <v>5.2688072674843299E-14</v>
      </c>
    </row>
    <row r="47" spans="2:19">
      <c r="B47" s="15">
        <f t="shared" si="9"/>
        <v>251.5</v>
      </c>
      <c r="C47" s="64">
        <f t="shared" si="10"/>
        <v>14410</v>
      </c>
      <c r="D47" s="16">
        <v>0.4531</v>
      </c>
      <c r="E47" s="120">
        <v>0.58879999999999999</v>
      </c>
      <c r="F47" s="16">
        <f t="shared" si="3"/>
        <v>0.27958257268998571</v>
      </c>
      <c r="G47" s="16">
        <f t="shared" si="4"/>
        <v>0.92733430255190663</v>
      </c>
      <c r="H47" s="20">
        <v>0.11609999999999999</v>
      </c>
      <c r="I47" s="120">
        <v>0.21329999999999999</v>
      </c>
      <c r="J47" s="16">
        <f t="shared" si="5"/>
        <v>0.23640405689633925</v>
      </c>
      <c r="K47" s="17">
        <f t="shared" si="6"/>
        <v>3.2317373416036033E-4</v>
      </c>
      <c r="L47" s="18">
        <f t="shared" si="7"/>
        <v>9.9378454738002967E-7</v>
      </c>
      <c r="M47" s="18">
        <f t="shared" si="8"/>
        <v>1.2005134383638448E-5</v>
      </c>
      <c r="N47" s="18">
        <f t="shared" si="0"/>
        <v>1.2998918931018478E-5</v>
      </c>
      <c r="O47" s="19">
        <f t="shared" si="1"/>
        <v>5.662809672373942E-10</v>
      </c>
      <c r="P47" s="74">
        <f t="shared" si="2"/>
        <v>5.7387660214609686E-14</v>
      </c>
    </row>
    <row r="48" spans="2:19">
      <c r="B48" s="15">
        <f t="shared" si="9"/>
        <v>258</v>
      </c>
      <c r="C48" s="64">
        <f t="shared" si="10"/>
        <v>14195</v>
      </c>
      <c r="D48" s="16">
        <v>0.42899999999999999</v>
      </c>
      <c r="E48" s="120">
        <v>0.55649999999999999</v>
      </c>
      <c r="F48" s="16">
        <f t="shared" si="3"/>
        <v>0.29982861527097565</v>
      </c>
      <c r="G48" s="16">
        <f t="shared" si="4"/>
        <v>0.93106284620850943</v>
      </c>
      <c r="H48" s="20">
        <v>0.115</v>
      </c>
      <c r="I48" s="120">
        <v>0.2046</v>
      </c>
      <c r="J48" s="16">
        <f t="shared" si="5"/>
        <v>0.22808358072014989</v>
      </c>
      <c r="K48" s="17">
        <f t="shared" si="6"/>
        <v>3.0413161696945195E-4</v>
      </c>
      <c r="L48" s="18">
        <f t="shared" si="7"/>
        <v>9.6766699716774058E-7</v>
      </c>
      <c r="M48" s="18">
        <f t="shared" si="8"/>
        <v>1.1868074213595951E-5</v>
      </c>
      <c r="N48" s="18">
        <f t="shared" ref="N48:N79" si="11">L48+M48</f>
        <v>1.2835741210763692E-5</v>
      </c>
      <c r="O48" s="19">
        <f t="shared" ref="O48:O79" si="12">100*$O$5*SQRT(N48)/(C48*J48*SQRT(($O$4*B48)*$O$6))/$L$5</f>
        <v>5.8457124975347315E-10</v>
      </c>
      <c r="P48" s="74">
        <f t="shared" ref="P48:P79" si="13">O48*B48*B48*0.0000000016021773</f>
        <v>6.2342962862420013E-14</v>
      </c>
    </row>
    <row r="49" spans="2:16">
      <c r="B49" s="15">
        <f t="shared" si="9"/>
        <v>264.5</v>
      </c>
      <c r="C49" s="64">
        <f t="shared" si="10"/>
        <v>13980</v>
      </c>
      <c r="D49" s="16">
        <v>0.40699999999999997</v>
      </c>
      <c r="E49" s="120">
        <v>0.52690000000000003</v>
      </c>
      <c r="F49" s="16">
        <f t="shared" si="3"/>
        <v>0.31966712787145579</v>
      </c>
      <c r="G49" s="16">
        <f t="shared" si="4"/>
        <v>0.93447958334788395</v>
      </c>
      <c r="H49" s="20">
        <v>0.1138</v>
      </c>
      <c r="I49" s="120">
        <v>0.1966</v>
      </c>
      <c r="J49" s="16">
        <f t="shared" si="5"/>
        <v>0.22034596299986198</v>
      </c>
      <c r="K49" s="17">
        <f t="shared" si="6"/>
        <v>2.8664433382726587E-4</v>
      </c>
      <c r="L49" s="18">
        <f t="shared" si="7"/>
        <v>9.3939724403401273E-7</v>
      </c>
      <c r="M49" s="18">
        <f t="shared" si="8"/>
        <v>1.1735931520063719E-5</v>
      </c>
      <c r="N49" s="18">
        <f t="shared" si="11"/>
        <v>1.2675328764097731E-5</v>
      </c>
      <c r="O49" s="19">
        <f t="shared" si="12"/>
        <v>6.0300478276911964E-10</v>
      </c>
      <c r="P49" s="74">
        <f t="shared" si="13"/>
        <v>6.7590036939241938E-14</v>
      </c>
    </row>
    <row r="50" spans="2:16">
      <c r="B50" s="15">
        <f t="shared" si="9"/>
        <v>271</v>
      </c>
      <c r="C50" s="64">
        <f t="shared" si="10"/>
        <v>13765</v>
      </c>
      <c r="D50" s="16">
        <v>0.38679999999999998</v>
      </c>
      <c r="E50" s="120">
        <v>0.49990000000000001</v>
      </c>
      <c r="F50" s="16">
        <f t="shared" si="3"/>
        <v>0.33890564285707631</v>
      </c>
      <c r="G50" s="16">
        <f t="shared" si="4"/>
        <v>0.9376278097778622</v>
      </c>
      <c r="H50" s="20">
        <v>0.11269999999999999</v>
      </c>
      <c r="I50" s="120">
        <v>0.18920000000000001</v>
      </c>
      <c r="J50" s="16">
        <f t="shared" si="5"/>
        <v>0.21311998429835299</v>
      </c>
      <c r="K50" s="17">
        <f t="shared" si="6"/>
        <v>2.7055125876347875E-4</v>
      </c>
      <c r="L50" s="18">
        <f t="shared" si="7"/>
        <v>9.092022977562239E-7</v>
      </c>
      <c r="M50" s="18">
        <f t="shared" si="8"/>
        <v>1.1608415386921204E-5</v>
      </c>
      <c r="N50" s="18">
        <f t="shared" si="11"/>
        <v>1.2517617684677428E-5</v>
      </c>
      <c r="O50" s="19">
        <f t="shared" si="12"/>
        <v>6.216444392145047E-10</v>
      </c>
      <c r="P50" s="74">
        <f t="shared" si="13"/>
        <v>7.314610568284047E-14</v>
      </c>
    </row>
    <row r="51" spans="2:16">
      <c r="B51" s="15">
        <f t="shared" si="9"/>
        <v>277.5</v>
      </c>
      <c r="C51" s="64">
        <f t="shared" si="10"/>
        <v>13550</v>
      </c>
      <c r="D51" s="16">
        <v>0.36830000000000002</v>
      </c>
      <c r="E51" s="120">
        <v>0.47499999999999998</v>
      </c>
      <c r="F51" s="16">
        <f t="shared" si="3"/>
        <v>0.35767250562965225</v>
      </c>
      <c r="G51" s="16">
        <f t="shared" si="4"/>
        <v>0.94052039048774394</v>
      </c>
      <c r="H51" s="20">
        <v>0.1116</v>
      </c>
      <c r="I51" s="120">
        <v>0.1825</v>
      </c>
      <c r="J51" s="16">
        <f t="shared" si="5"/>
        <v>0.20651607692819551</v>
      </c>
      <c r="K51" s="17">
        <f t="shared" si="6"/>
        <v>2.5571167734411449E-4</v>
      </c>
      <c r="L51" s="18">
        <f t="shared" si="7"/>
        <v>8.7882560906491289E-7</v>
      </c>
      <c r="M51" s="18">
        <f t="shared" si="8"/>
        <v>1.148525856242849E-5</v>
      </c>
      <c r="N51" s="18">
        <f t="shared" si="11"/>
        <v>1.2364084171493403E-5</v>
      </c>
      <c r="O51" s="19">
        <f t="shared" si="12"/>
        <v>6.4006277394087021E-10</v>
      </c>
      <c r="P51" s="74">
        <f t="shared" si="13"/>
        <v>7.8969450955491869E-14</v>
      </c>
    </row>
    <row r="52" spans="2:16">
      <c r="B52" s="15">
        <f t="shared" si="9"/>
        <v>284</v>
      </c>
      <c r="C52" s="64">
        <f t="shared" si="10"/>
        <v>13335</v>
      </c>
      <c r="D52" s="16">
        <v>0.35139999999999999</v>
      </c>
      <c r="E52" s="120">
        <v>0.45219999999999999</v>
      </c>
      <c r="F52" s="16">
        <f t="shared" si="3"/>
        <v>0.3757666650132036</v>
      </c>
      <c r="G52" s="16">
        <f t="shared" si="4"/>
        <v>0.94317060068686032</v>
      </c>
      <c r="H52" s="20">
        <v>0.1106</v>
      </c>
      <c r="I52" s="120">
        <v>0.1762</v>
      </c>
      <c r="J52" s="16">
        <f t="shared" si="5"/>
        <v>0.20025711762135756</v>
      </c>
      <c r="K52" s="17">
        <f t="shared" si="6"/>
        <v>2.4200192569862443E-4</v>
      </c>
      <c r="L52" s="18">
        <f t="shared" si="7"/>
        <v>8.4730951844310616E-7</v>
      </c>
      <c r="M52" s="18">
        <f t="shared" si="8"/>
        <v>1.136621503343747E-5</v>
      </c>
      <c r="N52" s="18">
        <f t="shared" si="11"/>
        <v>1.2213524551880576E-5</v>
      </c>
      <c r="O52" s="19">
        <f t="shared" si="12"/>
        <v>6.5894110848631933E-10</v>
      </c>
      <c r="P52" s="74">
        <f t="shared" si="13"/>
        <v>8.5151804643140612E-14</v>
      </c>
    </row>
    <row r="53" spans="2:16">
      <c r="B53" s="15">
        <f t="shared" si="9"/>
        <v>290.5</v>
      </c>
      <c r="C53" s="64">
        <f t="shared" si="10"/>
        <v>13120</v>
      </c>
      <c r="D53" s="16">
        <v>0.3357</v>
      </c>
      <c r="E53" s="120">
        <v>0.43109999999999998</v>
      </c>
      <c r="F53" s="16">
        <f t="shared" si="3"/>
        <v>0.39332621413937252</v>
      </c>
      <c r="G53" s="16">
        <f t="shared" si="4"/>
        <v>0.94563932106906001</v>
      </c>
      <c r="H53" s="20">
        <v>0.1096</v>
      </c>
      <c r="I53" s="120">
        <v>0.17050000000000001</v>
      </c>
      <c r="J53" s="16">
        <f t="shared" si="5"/>
        <v>0.19454826704172279</v>
      </c>
      <c r="K53" s="17">
        <f t="shared" si="6"/>
        <v>2.2931299455665783E-4</v>
      </c>
      <c r="L53" s="18">
        <f t="shared" si="7"/>
        <v>8.1645078773044165E-7</v>
      </c>
      <c r="M53" s="18">
        <f t="shared" si="8"/>
        <v>1.1251057897294685E-5</v>
      </c>
      <c r="N53" s="18">
        <f t="shared" si="11"/>
        <v>1.2067508685025127E-5</v>
      </c>
      <c r="O53" s="19">
        <f t="shared" si="12"/>
        <v>6.7754912413175642E-10</v>
      </c>
      <c r="P53" s="74">
        <f t="shared" si="13"/>
        <v>9.1610158791498626E-14</v>
      </c>
    </row>
    <row r="54" spans="2:16">
      <c r="B54" s="15">
        <f t="shared" si="9"/>
        <v>297</v>
      </c>
      <c r="C54" s="64">
        <f t="shared" si="10"/>
        <v>12905</v>
      </c>
      <c r="D54" s="16">
        <v>0.32119999999999999</v>
      </c>
      <c r="E54" s="120">
        <v>0.41170000000000001</v>
      </c>
      <c r="F54" s="16">
        <f t="shared" si="3"/>
        <v>0.41019416836910333</v>
      </c>
      <c r="G54" s="16">
        <f t="shared" si="4"/>
        <v>0.9479250888972045</v>
      </c>
      <c r="H54" s="20">
        <v>0.1086</v>
      </c>
      <c r="I54" s="120">
        <v>0.1651</v>
      </c>
      <c r="J54" s="16">
        <f t="shared" si="5"/>
        <v>0.18910037542096814</v>
      </c>
      <c r="K54" s="17">
        <f t="shared" si="6"/>
        <v>2.1754851432651782E-4</v>
      </c>
      <c r="L54" s="18">
        <f t="shared" si="7"/>
        <v>7.8516841263656325E-7</v>
      </c>
      <c r="M54" s="18">
        <f t="shared" si="8"/>
        <v>1.1139577489151245E-5</v>
      </c>
      <c r="N54" s="18">
        <f t="shared" si="11"/>
        <v>1.1924745901787809E-5</v>
      </c>
      <c r="O54" s="19">
        <f t="shared" si="12"/>
        <v>6.9672627734320589E-10</v>
      </c>
      <c r="P54" s="74">
        <f t="shared" si="13"/>
        <v>9.8465856593212821E-14</v>
      </c>
    </row>
    <row r="55" spans="2:16">
      <c r="B55" s="15">
        <f t="shared" si="9"/>
        <v>303.5</v>
      </c>
      <c r="C55" s="64">
        <f t="shared" si="10"/>
        <v>12690</v>
      </c>
      <c r="D55" s="16">
        <v>0.30790000000000001</v>
      </c>
      <c r="E55" s="120">
        <v>0.39369999999999999</v>
      </c>
      <c r="F55" s="16">
        <f t="shared" si="3"/>
        <v>0.42649115535620724</v>
      </c>
      <c r="G55" s="16">
        <f t="shared" si="4"/>
        <v>0.95002654753909865</v>
      </c>
      <c r="H55" s="20">
        <v>0.1077</v>
      </c>
      <c r="I55" s="120">
        <v>0.16020000000000001</v>
      </c>
      <c r="J55" s="16">
        <f t="shared" si="5"/>
        <v>0.18412530837886265</v>
      </c>
      <c r="K55" s="17">
        <f t="shared" si="6"/>
        <v>2.066230538601336E-4</v>
      </c>
      <c r="L55" s="18">
        <f t="shared" si="7"/>
        <v>7.5497149213214286E-7</v>
      </c>
      <c r="M55" s="18">
        <f t="shared" si="8"/>
        <v>1.103157972918316E-5</v>
      </c>
      <c r="N55" s="18">
        <f t="shared" si="11"/>
        <v>1.1786551221315302E-5</v>
      </c>
      <c r="O55" s="19">
        <f t="shared" si="12"/>
        <v>7.156573980637994E-10</v>
      </c>
      <c r="P55" s="74">
        <f t="shared" si="13"/>
        <v>1.0561683045018725E-13</v>
      </c>
    </row>
    <row r="56" spans="2:16">
      <c r="B56" s="15">
        <f t="shared" si="9"/>
        <v>310</v>
      </c>
      <c r="C56" s="64">
        <f t="shared" si="10"/>
        <v>12475</v>
      </c>
      <c r="D56" s="16">
        <v>0.29549999999999998</v>
      </c>
      <c r="E56" s="120">
        <v>0.377</v>
      </c>
      <c r="F56" s="16">
        <f t="shared" si="3"/>
        <v>0.44218961309108928</v>
      </c>
      <c r="G56" s="16">
        <f t="shared" si="4"/>
        <v>0.9519899985221516</v>
      </c>
      <c r="H56" s="20">
        <v>0.1067</v>
      </c>
      <c r="I56" s="120">
        <v>0.15559999999999999</v>
      </c>
      <c r="J56" s="16">
        <f t="shared" si="5"/>
        <v>0.17942133616451117</v>
      </c>
      <c r="K56" s="17">
        <f t="shared" si="6"/>
        <v>1.9646067860030391E-4</v>
      </c>
      <c r="L56" s="18">
        <f t="shared" si="7"/>
        <v>7.2525333355490545E-7</v>
      </c>
      <c r="M56" s="18">
        <f t="shared" si="8"/>
        <v>1.0926884659803668E-5</v>
      </c>
      <c r="N56" s="18">
        <f t="shared" si="11"/>
        <v>1.1652137993358574E-5</v>
      </c>
      <c r="O56" s="19">
        <f t="shared" si="12"/>
        <v>7.3497669763914791E-10</v>
      </c>
      <c r="P56" s="74">
        <f t="shared" si="13"/>
        <v>1.1316380247279364E-13</v>
      </c>
    </row>
    <row r="57" spans="2:16">
      <c r="B57" s="15">
        <f t="shared" si="9"/>
        <v>316.5</v>
      </c>
      <c r="C57" s="64">
        <f t="shared" si="10"/>
        <v>12260</v>
      </c>
      <c r="D57" s="16">
        <v>0.28389999999999999</v>
      </c>
      <c r="E57" s="120">
        <v>0.36149999999999999</v>
      </c>
      <c r="F57" s="16">
        <f t="shared" si="3"/>
        <v>0.45727663179796207</v>
      </c>
      <c r="G57" s="16">
        <f t="shared" si="4"/>
        <v>0.9538304487559679</v>
      </c>
      <c r="H57" s="20">
        <v>0.10580000000000001</v>
      </c>
      <c r="I57" s="120">
        <v>0.15129999999999999</v>
      </c>
      <c r="J57" s="16">
        <f t="shared" si="5"/>
        <v>0.17500091356534297</v>
      </c>
      <c r="K57" s="17">
        <f t="shared" si="6"/>
        <v>1.869937241152814E-4</v>
      </c>
      <c r="L57" s="18">
        <f t="shared" si="7"/>
        <v>6.9627505167863542E-7</v>
      </c>
      <c r="M57" s="18">
        <f t="shared" si="8"/>
        <v>1.0825325147553429E-5</v>
      </c>
      <c r="N57" s="18">
        <f t="shared" si="11"/>
        <v>1.1521600199232064E-5</v>
      </c>
      <c r="O57" s="19">
        <f t="shared" si="12"/>
        <v>7.5457950553918193E-10</v>
      </c>
      <c r="P57" s="74">
        <f t="shared" si="13"/>
        <v>1.2110526059117789E-13</v>
      </c>
    </row>
    <row r="58" spans="2:16">
      <c r="B58" s="15">
        <f t="shared" si="9"/>
        <v>323</v>
      </c>
      <c r="C58" s="64">
        <f t="shared" si="10"/>
        <v>12045</v>
      </c>
      <c r="D58" s="16">
        <v>0.2732</v>
      </c>
      <c r="E58" s="120">
        <v>0.34710000000000002</v>
      </c>
      <c r="F58" s="16">
        <f t="shared" si="3"/>
        <v>0.47175384229366518</v>
      </c>
      <c r="G58" s="16">
        <f t="shared" si="4"/>
        <v>0.95553125998221589</v>
      </c>
      <c r="H58" s="20">
        <v>0.105</v>
      </c>
      <c r="I58" s="120">
        <v>0.14729999999999999</v>
      </c>
      <c r="J58" s="16">
        <f t="shared" si="5"/>
        <v>0.17086890496661566</v>
      </c>
      <c r="K58" s="17">
        <f t="shared" si="6"/>
        <v>1.7816174921232803E-4</v>
      </c>
      <c r="L58" s="18">
        <f t="shared" si="7"/>
        <v>6.6823652488197988E-7</v>
      </c>
      <c r="M58" s="18">
        <f t="shared" si="8"/>
        <v>1.0726745728171467E-5</v>
      </c>
      <c r="N58" s="18">
        <f t="shared" si="11"/>
        <v>1.1394982253053447E-5</v>
      </c>
      <c r="O58" s="19">
        <f t="shared" si="12"/>
        <v>7.7437615783004947E-10</v>
      </c>
      <c r="P58" s="74">
        <f t="shared" si="13"/>
        <v>1.2943972810026965E-13</v>
      </c>
    </row>
    <row r="59" spans="2:16">
      <c r="B59" s="15">
        <f t="shared" si="9"/>
        <v>329.5</v>
      </c>
      <c r="C59" s="64">
        <f t="shared" si="10"/>
        <v>11830</v>
      </c>
      <c r="D59" s="16">
        <v>0.26329999999999998</v>
      </c>
      <c r="E59" s="120">
        <v>0.33360000000000001</v>
      </c>
      <c r="F59" s="16">
        <f t="shared" si="3"/>
        <v>0.4857422235567162</v>
      </c>
      <c r="G59" s="16">
        <f t="shared" si="4"/>
        <v>0.95710760876494638</v>
      </c>
      <c r="H59" s="20">
        <v>0.1041</v>
      </c>
      <c r="I59" s="120">
        <v>0.14360000000000001</v>
      </c>
      <c r="J59" s="16">
        <f t="shared" si="5"/>
        <v>0.16702237673230336</v>
      </c>
      <c r="K59" s="17">
        <f t="shared" si="6"/>
        <v>1.6991063935555315E-4</v>
      </c>
      <c r="L59" s="18">
        <f t="shared" si="7"/>
        <v>6.4141768004117701E-7</v>
      </c>
      <c r="M59" s="18">
        <f t="shared" si="8"/>
        <v>1.0631001576526739E-5</v>
      </c>
      <c r="N59" s="18">
        <f t="shared" si="11"/>
        <v>1.1272419256567917E-5</v>
      </c>
      <c r="O59" s="19">
        <f t="shared" si="12"/>
        <v>7.9430574061086303E-10</v>
      </c>
      <c r="P59" s="74">
        <f t="shared" si="13"/>
        <v>1.3816852247354314E-13</v>
      </c>
    </row>
    <row r="60" spans="2:16">
      <c r="B60" s="15">
        <f t="shared" si="9"/>
        <v>336</v>
      </c>
      <c r="C60" s="64">
        <f t="shared" si="10"/>
        <v>11615</v>
      </c>
      <c r="D60" s="16">
        <v>0.254</v>
      </c>
      <c r="E60" s="120">
        <v>0.3211</v>
      </c>
      <c r="F60" s="16">
        <f t="shared" si="3"/>
        <v>0.49906399248497246</v>
      </c>
      <c r="G60" s="16">
        <f t="shared" si="4"/>
        <v>0.95859079006142611</v>
      </c>
      <c r="H60" s="20">
        <v>0.1033</v>
      </c>
      <c r="I60" s="120">
        <v>0.1401</v>
      </c>
      <c r="J60" s="16">
        <f t="shared" si="5"/>
        <v>0.16336927950569458</v>
      </c>
      <c r="K60" s="17">
        <f t="shared" si="6"/>
        <v>1.6219183635298679E-4</v>
      </c>
      <c r="L60" s="18">
        <f t="shared" si="7"/>
        <v>6.1531553870937029E-7</v>
      </c>
      <c r="M60" s="18">
        <f t="shared" si="8"/>
        <v>1.0537957585745196E-5</v>
      </c>
      <c r="N60" s="18">
        <f t="shared" si="11"/>
        <v>1.1153273124454566E-5</v>
      </c>
      <c r="O60" s="19">
        <f t="shared" si="12"/>
        <v>8.147196112201287E-10</v>
      </c>
      <c r="P60" s="74">
        <f t="shared" si="13"/>
        <v>1.4736600133890983E-13</v>
      </c>
    </row>
    <row r="61" spans="2:16">
      <c r="B61" s="15">
        <f t="shared" si="9"/>
        <v>342.5</v>
      </c>
      <c r="C61" s="64">
        <f t="shared" si="10"/>
        <v>11400</v>
      </c>
      <c r="D61" s="16">
        <v>0.24529999999999999</v>
      </c>
      <c r="E61" s="120">
        <v>0.30930000000000002</v>
      </c>
      <c r="F61" s="16">
        <f t="shared" si="3"/>
        <v>0.51197481223820052</v>
      </c>
      <c r="G61" s="16">
        <f t="shared" si="4"/>
        <v>0.95998036294028832</v>
      </c>
      <c r="H61" s="20">
        <v>0.10249999999999999</v>
      </c>
      <c r="I61" s="120">
        <v>0.1368</v>
      </c>
      <c r="J61" s="16">
        <f t="shared" si="5"/>
        <v>0.15990852981851367</v>
      </c>
      <c r="K61" s="17">
        <f t="shared" si="6"/>
        <v>1.5496167449919292E-4</v>
      </c>
      <c r="L61" s="18">
        <f t="shared" si="7"/>
        <v>5.9032212329301589E-7</v>
      </c>
      <c r="M61" s="18">
        <f t="shared" si="8"/>
        <v>1.0447487542093901E-5</v>
      </c>
      <c r="N61" s="18">
        <f t="shared" si="11"/>
        <v>1.1037809665386917E-5</v>
      </c>
      <c r="O61" s="19">
        <f t="shared" si="12"/>
        <v>8.3560480559987034E-10</v>
      </c>
      <c r="P61" s="74">
        <f t="shared" si="13"/>
        <v>1.5704808853691548E-13</v>
      </c>
    </row>
    <row r="62" spans="2:16">
      <c r="B62" s="15">
        <f t="shared" si="9"/>
        <v>349</v>
      </c>
      <c r="C62" s="64">
        <f t="shared" si="10"/>
        <v>11185</v>
      </c>
      <c r="D62" s="16">
        <v>0.23710000000000001</v>
      </c>
      <c r="E62" s="120">
        <v>0.2984</v>
      </c>
      <c r="F62" s="16">
        <f t="shared" si="3"/>
        <v>0.52419747760433089</v>
      </c>
      <c r="G62" s="16">
        <f t="shared" si="4"/>
        <v>0.96129191925999913</v>
      </c>
      <c r="H62" s="20">
        <v>0.1017</v>
      </c>
      <c r="I62" s="120">
        <v>0.13370000000000001</v>
      </c>
      <c r="J62" s="16">
        <f t="shared" si="5"/>
        <v>0.15664264319131527</v>
      </c>
      <c r="K62" s="17">
        <f t="shared" si="6"/>
        <v>1.4818080677572534E-4</v>
      </c>
      <c r="L62" s="18">
        <f t="shared" si="7"/>
        <v>5.6616570865501374E-7</v>
      </c>
      <c r="M62" s="18">
        <f t="shared" si="8"/>
        <v>1.0359473384058312E-5</v>
      </c>
      <c r="N62" s="18">
        <f t="shared" si="11"/>
        <v>1.0925639092713325E-5</v>
      </c>
      <c r="O62" s="19">
        <f t="shared" si="12"/>
        <v>8.5690162942922473E-10</v>
      </c>
      <c r="P62" s="74">
        <f t="shared" si="13"/>
        <v>1.6722160859908902E-13</v>
      </c>
    </row>
    <row r="63" spans="2:16">
      <c r="B63" s="15">
        <f t="shared" si="9"/>
        <v>355.5</v>
      </c>
      <c r="C63" s="64">
        <f t="shared" si="10"/>
        <v>10970</v>
      </c>
      <c r="D63" s="16">
        <v>0.22950000000000001</v>
      </c>
      <c r="E63" s="120">
        <v>0.28810000000000002</v>
      </c>
      <c r="F63" s="16">
        <f t="shared" si="3"/>
        <v>0.53601536622073331</v>
      </c>
      <c r="G63" s="16">
        <f t="shared" si="4"/>
        <v>0.96250910800753398</v>
      </c>
      <c r="H63" s="20">
        <v>0.1009</v>
      </c>
      <c r="I63" s="120">
        <v>0.1308</v>
      </c>
      <c r="J63" s="16">
        <f t="shared" si="5"/>
        <v>0.15357399998864385</v>
      </c>
      <c r="K63" s="17">
        <f t="shared" si="6"/>
        <v>1.4181370748779878E-4</v>
      </c>
      <c r="L63" s="18">
        <f t="shared" si="7"/>
        <v>5.4320256741088058E-7</v>
      </c>
      <c r="M63" s="18">
        <f t="shared" si="8"/>
        <v>1.0273804535632276E-5</v>
      </c>
      <c r="N63" s="18">
        <f t="shared" si="11"/>
        <v>1.0817007103043156E-5</v>
      </c>
      <c r="O63" s="19">
        <f t="shared" si="12"/>
        <v>8.7856860396148445E-10</v>
      </c>
      <c r="P63" s="74">
        <f t="shared" si="13"/>
        <v>1.7789570541542949E-13</v>
      </c>
    </row>
    <row r="64" spans="2:16">
      <c r="B64" s="15">
        <f t="shared" si="9"/>
        <v>362</v>
      </c>
      <c r="C64" s="64">
        <f t="shared" si="10"/>
        <v>10755</v>
      </c>
      <c r="D64" s="16">
        <v>0.2223</v>
      </c>
      <c r="E64" s="120">
        <v>0.27839999999999998</v>
      </c>
      <c r="F64" s="16">
        <f t="shared" si="3"/>
        <v>0.54738833085676031</v>
      </c>
      <c r="G64" s="16">
        <f t="shared" si="4"/>
        <v>0.96366365582390578</v>
      </c>
      <c r="H64" s="20">
        <v>0.1002</v>
      </c>
      <c r="I64" s="120">
        <v>0.12809999999999999</v>
      </c>
      <c r="J64" s="16">
        <f t="shared" si="5"/>
        <v>0.15070866434779384</v>
      </c>
      <c r="K64" s="17">
        <f t="shared" si="6"/>
        <v>1.3582823998077055E-4</v>
      </c>
      <c r="L64" s="18">
        <f t="shared" si="7"/>
        <v>5.2140402972514025E-7</v>
      </c>
      <c r="M64" s="18">
        <f t="shared" si="8"/>
        <v>1.0190377305182031E-5</v>
      </c>
      <c r="N64" s="18">
        <f t="shared" si="11"/>
        <v>1.0711781334907171E-5</v>
      </c>
      <c r="O64" s="19">
        <f t="shared" si="12"/>
        <v>9.0052168769839889E-10</v>
      </c>
      <c r="P64" s="74">
        <f t="shared" si="13"/>
        <v>1.8906968120850866E-13</v>
      </c>
    </row>
    <row r="65" spans="2:19">
      <c r="B65" s="15">
        <f t="shared" si="9"/>
        <v>368.5</v>
      </c>
      <c r="C65" s="64">
        <f t="shared" si="10"/>
        <v>10540</v>
      </c>
      <c r="D65" s="16">
        <v>0.21560000000000001</v>
      </c>
      <c r="E65" s="120">
        <v>0.26939999999999997</v>
      </c>
      <c r="F65" s="16">
        <f t="shared" si="3"/>
        <v>0.5581562711414968</v>
      </c>
      <c r="G65" s="16">
        <f t="shared" si="4"/>
        <v>0.96473927065467646</v>
      </c>
      <c r="H65" s="20">
        <v>9.9460000000000007E-2</v>
      </c>
      <c r="I65" s="120">
        <v>0.1255</v>
      </c>
      <c r="J65" s="16">
        <f t="shared" si="5"/>
        <v>0.14793775729234204</v>
      </c>
      <c r="K65" s="17">
        <f t="shared" si="6"/>
        <v>1.3019527993566411E-4</v>
      </c>
      <c r="L65" s="18">
        <f t="shared" si="7"/>
        <v>5.0024457949867543E-7</v>
      </c>
      <c r="M65" s="18">
        <f t="shared" si="8"/>
        <v>1.0109094342386606E-5</v>
      </c>
      <c r="N65" s="18">
        <f t="shared" si="11"/>
        <v>1.0609338921885282E-5</v>
      </c>
      <c r="O65" s="19">
        <f t="shared" si="12"/>
        <v>9.2336205255341715E-10</v>
      </c>
      <c r="P65" s="74">
        <f t="shared" si="13"/>
        <v>2.0088965874403019E-13</v>
      </c>
    </row>
    <row r="66" spans="2:19">
      <c r="B66" s="15">
        <f t="shared" si="9"/>
        <v>375</v>
      </c>
      <c r="C66" s="64">
        <f t="shared" si="10"/>
        <v>10325</v>
      </c>
      <c r="D66" s="16">
        <v>0.20930000000000001</v>
      </c>
      <c r="E66" s="120">
        <v>0.26079999999999998</v>
      </c>
      <c r="F66" s="16">
        <f t="shared" si="3"/>
        <v>0.56864348805747122</v>
      </c>
      <c r="G66" s="16">
        <f t="shared" si="4"/>
        <v>0.96575176484768466</v>
      </c>
      <c r="H66" s="20">
        <v>9.8750000000000004E-2</v>
      </c>
      <c r="I66" s="120">
        <v>0.123</v>
      </c>
      <c r="J66" s="16">
        <f t="shared" si="5"/>
        <v>0.1452649575986088</v>
      </c>
      <c r="K66" s="17">
        <f t="shared" si="6"/>
        <v>1.2488838626882658E-4</v>
      </c>
      <c r="L66" s="18">
        <f t="shared" si="7"/>
        <v>4.8003947643291696E-7</v>
      </c>
      <c r="M66" s="18">
        <f t="shared" si="8"/>
        <v>1.0029864146729764E-5</v>
      </c>
      <c r="N66" s="18">
        <f t="shared" si="11"/>
        <v>1.0509903623162682E-5</v>
      </c>
      <c r="O66" s="19">
        <f t="shared" si="12"/>
        <v>9.4710702759428235E-10</v>
      </c>
      <c r="P66" s="74">
        <f t="shared" si="13"/>
        <v>2.1338906910216087E-13</v>
      </c>
    </row>
    <row r="67" spans="2:19">
      <c r="B67" s="15">
        <f t="shared" si="9"/>
        <v>381.5</v>
      </c>
      <c r="C67" s="64">
        <f t="shared" si="10"/>
        <v>10110</v>
      </c>
      <c r="D67" s="16">
        <v>0.20330000000000001</v>
      </c>
      <c r="E67" s="120">
        <v>0.25280000000000002</v>
      </c>
      <c r="F67" s="16">
        <f t="shared" si="3"/>
        <v>0.57857586503762426</v>
      </c>
      <c r="G67" s="16">
        <f t="shared" si="4"/>
        <v>0.96671703293189737</v>
      </c>
      <c r="H67" s="20">
        <v>9.8049999999999998E-2</v>
      </c>
      <c r="I67" s="120">
        <v>0.1207</v>
      </c>
      <c r="J67" s="16">
        <f t="shared" si="5"/>
        <v>0.14279677230785981</v>
      </c>
      <c r="K67" s="17">
        <f t="shared" si="6"/>
        <v>1.1988351292007221E-4</v>
      </c>
      <c r="L67" s="18">
        <f t="shared" si="7"/>
        <v>4.6088620631530817E-7</v>
      </c>
      <c r="M67" s="18">
        <f t="shared" si="8"/>
        <v>9.9526006218510528E-6</v>
      </c>
      <c r="N67" s="18">
        <f t="shared" si="11"/>
        <v>1.041348682816636E-5</v>
      </c>
      <c r="O67" s="19">
        <f t="shared" si="12"/>
        <v>9.7106324545519174E-10</v>
      </c>
      <c r="P67" s="74">
        <f t="shared" si="13"/>
        <v>2.2643688681499753E-13</v>
      </c>
    </row>
    <row r="68" spans="2:19">
      <c r="B68" s="15">
        <f t="shared" si="9"/>
        <v>388</v>
      </c>
      <c r="C68" s="64">
        <f t="shared" si="10"/>
        <v>9895</v>
      </c>
      <c r="D68" s="16">
        <v>0.19769999999999999</v>
      </c>
      <c r="E68" s="120">
        <v>0.2452</v>
      </c>
      <c r="F68" s="16">
        <f t="shared" si="3"/>
        <v>0.58817226870730166</v>
      </c>
      <c r="G68" s="16">
        <f t="shared" si="4"/>
        <v>0.9676188202413144</v>
      </c>
      <c r="H68" s="20">
        <v>9.7360000000000002E-2</v>
      </c>
      <c r="I68" s="120">
        <v>0.11849999999999999</v>
      </c>
      <c r="J68" s="16">
        <f t="shared" si="5"/>
        <v>0.14042844007134958</v>
      </c>
      <c r="K68" s="17">
        <f t="shared" si="6"/>
        <v>1.1515875585650535E-4</v>
      </c>
      <c r="L68" s="18">
        <f t="shared" si="7"/>
        <v>4.4260223234245447E-7</v>
      </c>
      <c r="M68" s="18">
        <f t="shared" si="8"/>
        <v>9.8772226707771709E-6</v>
      </c>
      <c r="N68" s="18">
        <f t="shared" si="11"/>
        <v>1.0319824903119625E-5</v>
      </c>
      <c r="O68" s="19">
        <f t="shared" si="12"/>
        <v>9.9589987905619098E-10</v>
      </c>
      <c r="P68" s="74">
        <f t="shared" si="13"/>
        <v>2.4020923774402354E-13</v>
      </c>
    </row>
    <row r="69" spans="2:19">
      <c r="B69" s="15">
        <f t="shared" si="9"/>
        <v>394.5</v>
      </c>
      <c r="C69" s="64">
        <f t="shared" si="10"/>
        <v>9680</v>
      </c>
      <c r="D69" s="16">
        <v>0.1923</v>
      </c>
      <c r="E69" s="120">
        <v>0.23799999999999999</v>
      </c>
      <c r="F69" s="16">
        <f t="shared" si="3"/>
        <v>0.59741037883991288</v>
      </c>
      <c r="G69" s="16">
        <f t="shared" si="4"/>
        <v>0.96848919754207596</v>
      </c>
      <c r="H69" s="20">
        <v>9.6689999999999998E-2</v>
      </c>
      <c r="I69" s="120">
        <v>0.1164</v>
      </c>
      <c r="J69" s="16">
        <f t="shared" si="5"/>
        <v>0.13816121485208277</v>
      </c>
      <c r="K69" s="17">
        <f t="shared" si="6"/>
        <v>1.106941304858138E-4</v>
      </c>
      <c r="L69" s="18">
        <f t="shared" si="7"/>
        <v>4.2514976414666641E-7</v>
      </c>
      <c r="M69" s="18">
        <f t="shared" si="8"/>
        <v>9.8036538276689512E-6</v>
      </c>
      <c r="N69" s="18">
        <f t="shared" si="11"/>
        <v>1.0228803591815618E-5</v>
      </c>
      <c r="O69" s="19">
        <f t="shared" si="12"/>
        <v>1.0216300615642045E-9</v>
      </c>
      <c r="P69" s="74">
        <f t="shared" si="13"/>
        <v>2.5474065019265842E-13</v>
      </c>
    </row>
    <row r="70" spans="2:19">
      <c r="B70" s="15">
        <f t="shared" si="9"/>
        <v>401</v>
      </c>
      <c r="C70" s="64">
        <f t="shared" si="10"/>
        <v>9465</v>
      </c>
      <c r="D70" s="16">
        <v>0.18729999999999999</v>
      </c>
      <c r="E70" s="120">
        <v>0.23130000000000001</v>
      </c>
      <c r="F70" s="16">
        <f t="shared" si="3"/>
        <v>0.60613723994309032</v>
      </c>
      <c r="G70" s="16">
        <f t="shared" si="4"/>
        <v>0.96929580050092623</v>
      </c>
      <c r="H70" s="20">
        <v>9.604E-2</v>
      </c>
      <c r="I70" s="120">
        <v>0.1144</v>
      </c>
      <c r="J70" s="16">
        <f t="shared" si="5"/>
        <v>0.13599593039655344</v>
      </c>
      <c r="K70" s="17">
        <f t="shared" si="6"/>
        <v>1.0647137539525144E-4</v>
      </c>
      <c r="L70" s="18">
        <f t="shared" si="7"/>
        <v>4.0840354681776386E-7</v>
      </c>
      <c r="M70" s="18">
        <f t="shared" si="8"/>
        <v>9.7318219222488289E-6</v>
      </c>
      <c r="N70" s="18">
        <f t="shared" si="11"/>
        <v>1.0140225469066592E-5</v>
      </c>
      <c r="O70" s="19">
        <f t="shared" si="12"/>
        <v>1.0482656066039701E-9</v>
      </c>
      <c r="P70" s="74">
        <f t="shared" si="13"/>
        <v>2.700664628782343E-13</v>
      </c>
    </row>
    <row r="71" spans="2:19">
      <c r="B71" s="15">
        <f t="shared" si="9"/>
        <v>407.5</v>
      </c>
      <c r="C71" s="64">
        <f t="shared" si="10"/>
        <v>9250</v>
      </c>
      <c r="D71" s="16">
        <v>0.18260000000000001</v>
      </c>
      <c r="E71" s="120">
        <v>0.22489999999999999</v>
      </c>
      <c r="F71" s="16">
        <f t="shared" si="3"/>
        <v>0.61459236627643199</v>
      </c>
      <c r="G71" s="16">
        <f t="shared" si="4"/>
        <v>0.97005461979790453</v>
      </c>
      <c r="H71" s="20">
        <v>9.5399999999999999E-2</v>
      </c>
      <c r="I71" s="120">
        <v>0.1125</v>
      </c>
      <c r="J71" s="16">
        <f t="shared" si="5"/>
        <v>0.13393299462445452</v>
      </c>
      <c r="K71" s="17">
        <f t="shared" si="6"/>
        <v>1.0247377893669935E-4</v>
      </c>
      <c r="L71" s="18">
        <f t="shared" si="7"/>
        <v>3.9250798359943145E-7</v>
      </c>
      <c r="M71" s="18">
        <f t="shared" si="8"/>
        <v>9.6616587735312578E-6</v>
      </c>
      <c r="N71" s="18">
        <f t="shared" si="11"/>
        <v>1.0054166757130689E-5</v>
      </c>
      <c r="O71" s="19">
        <f t="shared" si="12"/>
        <v>1.0758362449963017E-9</v>
      </c>
      <c r="P71" s="74">
        <f t="shared" si="13"/>
        <v>2.8622790512462859E-13</v>
      </c>
    </row>
    <row r="72" spans="2:19">
      <c r="B72" s="15">
        <f t="shared" si="9"/>
        <v>414</v>
      </c>
      <c r="C72" s="64">
        <f t="shared" si="10"/>
        <v>9035</v>
      </c>
      <c r="D72" s="16">
        <v>0.17799999999999999</v>
      </c>
      <c r="E72" s="120">
        <v>0.21879999999999999</v>
      </c>
      <c r="F72" s="16">
        <f t="shared" si="3"/>
        <v>0.62276091368964492</v>
      </c>
      <c r="G72" s="16">
        <f t="shared" si="4"/>
        <v>0.9707978692222422</v>
      </c>
      <c r="H72" s="20">
        <v>9.4769999999999993E-2</v>
      </c>
      <c r="I72" s="120">
        <v>0.11070000000000001</v>
      </c>
      <c r="J72" s="16">
        <f t="shared" si="5"/>
        <v>0.13197316595391295</v>
      </c>
      <c r="K72" s="17">
        <f t="shared" si="6"/>
        <v>9.868602568498731E-5</v>
      </c>
      <c r="L72" s="18">
        <f t="shared" si="7"/>
        <v>3.7741995482510934E-7</v>
      </c>
      <c r="M72" s="18">
        <f t="shared" si="8"/>
        <v>9.5930999098755992E-6</v>
      </c>
      <c r="N72" s="18">
        <f t="shared" si="11"/>
        <v>9.9705198647007086E-6</v>
      </c>
      <c r="O72" s="19">
        <f t="shared" si="12"/>
        <v>1.1043613196454569E-9</v>
      </c>
      <c r="P72" s="74">
        <f t="shared" si="13"/>
        <v>3.0326510650849741E-13</v>
      </c>
    </row>
    <row r="73" spans="2:19">
      <c r="B73" s="15">
        <f t="shared" si="9"/>
        <v>420.5</v>
      </c>
      <c r="C73" s="64">
        <f t="shared" si="10"/>
        <v>8820</v>
      </c>
      <c r="D73" s="16">
        <v>0.17380000000000001</v>
      </c>
      <c r="E73" s="120">
        <v>0.21299999999999999</v>
      </c>
      <c r="F73" s="16">
        <f t="shared" si="3"/>
        <v>0.63062839773736079</v>
      </c>
      <c r="G73" s="16">
        <f t="shared" si="4"/>
        <v>0.9714769855975548</v>
      </c>
      <c r="H73" s="20">
        <v>9.4149999999999998E-2</v>
      </c>
      <c r="I73" s="120">
        <v>0.109</v>
      </c>
      <c r="J73" s="16">
        <f t="shared" si="5"/>
        <v>0.13011716602955459</v>
      </c>
      <c r="K73" s="17">
        <f t="shared" si="6"/>
        <v>9.5094060223024451E-5</v>
      </c>
      <c r="L73" s="18">
        <f t="shared" si="7"/>
        <v>3.6309881938380372E-7</v>
      </c>
      <c r="M73" s="18">
        <f t="shared" si="8"/>
        <v>9.5260843127255854E-6</v>
      </c>
      <c r="N73" s="18">
        <f t="shared" si="11"/>
        <v>9.8891831321093896E-6</v>
      </c>
      <c r="O73" s="19">
        <f t="shared" si="12"/>
        <v>1.1338621992530347E-9</v>
      </c>
      <c r="P73" s="74">
        <f t="shared" si="13"/>
        <v>3.2122020249613259E-13</v>
      </c>
    </row>
    <row r="74" spans="2:19">
      <c r="B74" s="15">
        <f t="shared" si="9"/>
        <v>427</v>
      </c>
      <c r="C74" s="64">
        <f t="shared" si="10"/>
        <v>8605</v>
      </c>
      <c r="D74" s="16">
        <v>0.16969999999999999</v>
      </c>
      <c r="E74" s="120">
        <v>0.20760000000000001</v>
      </c>
      <c r="F74" s="16">
        <f t="shared" si="3"/>
        <v>0.63804261703992782</v>
      </c>
      <c r="G74" s="16">
        <f t="shared" si="4"/>
        <v>0.97214039077278147</v>
      </c>
      <c r="H74" s="20">
        <v>9.3549999999999994E-2</v>
      </c>
      <c r="I74" s="120">
        <v>0.10730000000000001</v>
      </c>
      <c r="J74" s="16">
        <f t="shared" si="5"/>
        <v>0.12825798220651141</v>
      </c>
      <c r="K74" s="17">
        <f t="shared" si="6"/>
        <v>9.1684966067000443E-5</v>
      </c>
      <c r="L74" s="18">
        <f t="shared" si="7"/>
        <v>3.4913760681191598E-7</v>
      </c>
      <c r="M74" s="18">
        <f t="shared" si="8"/>
        <v>9.4605541816996833E-6</v>
      </c>
      <c r="N74" s="18">
        <f t="shared" si="11"/>
        <v>9.8096917885115991E-6</v>
      </c>
      <c r="O74" s="19">
        <f t="shared" si="12"/>
        <v>1.1653186957218027E-9</v>
      </c>
      <c r="P74" s="74">
        <f t="shared" si="13"/>
        <v>3.4041684191844675E-13</v>
      </c>
    </row>
    <row r="75" spans="2:19">
      <c r="B75" s="15">
        <f t="shared" si="9"/>
        <v>433.5</v>
      </c>
      <c r="C75" s="64">
        <f t="shared" si="10"/>
        <v>8390</v>
      </c>
      <c r="D75" s="16">
        <v>0.16589999999999999</v>
      </c>
      <c r="E75" s="120">
        <v>0.2024</v>
      </c>
      <c r="F75" s="16">
        <f t="shared" si="3"/>
        <v>0.64526460887277237</v>
      </c>
      <c r="G75" s="16">
        <f t="shared" si="4"/>
        <v>0.97275565861748137</v>
      </c>
      <c r="H75" s="20">
        <v>9.2960000000000001E-2</v>
      </c>
      <c r="I75" s="120">
        <v>0.10580000000000001</v>
      </c>
      <c r="J75" s="16">
        <f t="shared" si="5"/>
        <v>0.12661184503102541</v>
      </c>
      <c r="K75" s="17">
        <f t="shared" si="6"/>
        <v>8.8446857849238585E-5</v>
      </c>
      <c r="L75" s="18">
        <f t="shared" si="7"/>
        <v>3.3624823174071612E-7</v>
      </c>
      <c r="M75" s="18">
        <f t="shared" si="8"/>
        <v>9.3964547189588159E-6</v>
      </c>
      <c r="N75" s="18">
        <f t="shared" si="11"/>
        <v>9.7327029506995322E-6</v>
      </c>
      <c r="O75" s="19">
        <f t="shared" si="12"/>
        <v>1.1968841981621709E-9</v>
      </c>
      <c r="P75" s="74">
        <f t="shared" si="13"/>
        <v>3.603635952796542E-13</v>
      </c>
    </row>
    <row r="76" spans="2:19">
      <c r="B76" s="15">
        <f t="shared" si="9"/>
        <v>440</v>
      </c>
      <c r="C76" s="64">
        <f t="shared" si="10"/>
        <v>8175</v>
      </c>
      <c r="D76" s="16">
        <v>0.16220000000000001</v>
      </c>
      <c r="E76" s="120">
        <v>0.19739999999999999</v>
      </c>
      <c r="F76" s="16">
        <f t="shared" si="3"/>
        <v>0.65228591058963559</v>
      </c>
      <c r="G76" s="16">
        <f t="shared" si="4"/>
        <v>0.97335510936783154</v>
      </c>
      <c r="H76" s="20">
        <v>9.2380000000000004E-2</v>
      </c>
      <c r="I76" s="120">
        <v>0.1043</v>
      </c>
      <c r="J76" s="16">
        <f t="shared" si="5"/>
        <v>0.12496299317099024</v>
      </c>
      <c r="K76" s="17">
        <f t="shared" si="6"/>
        <v>8.5368785134427714E-5</v>
      </c>
      <c r="L76" s="18">
        <f t="shared" si="7"/>
        <v>3.2380601724301851E-7</v>
      </c>
      <c r="M76" s="18">
        <f t="shared" si="8"/>
        <v>9.333733931006886E-6</v>
      </c>
      <c r="N76" s="18">
        <f t="shared" si="11"/>
        <v>9.6575399482499051E-6</v>
      </c>
      <c r="O76" s="19">
        <f t="shared" si="12"/>
        <v>1.2305633780291922E-9</v>
      </c>
      <c r="P76" s="74">
        <f t="shared" si="13"/>
        <v>3.8169802555080409E-13</v>
      </c>
    </row>
    <row r="77" spans="2:19">
      <c r="B77" s="15">
        <f t="shared" si="9"/>
        <v>446.5</v>
      </c>
      <c r="C77" s="64">
        <f t="shared" si="10"/>
        <v>7960</v>
      </c>
      <c r="D77" s="16">
        <v>0.15870000000000001</v>
      </c>
      <c r="E77" s="120">
        <v>0.19270000000000001</v>
      </c>
      <c r="F77" s="16">
        <f t="shared" si="3"/>
        <v>0.65895558125912712</v>
      </c>
      <c r="G77" s="16">
        <f t="shared" si="4"/>
        <v>0.97392249736443615</v>
      </c>
      <c r="H77" s="20">
        <v>9.1810000000000003E-2</v>
      </c>
      <c r="I77" s="120">
        <v>0.1028</v>
      </c>
      <c r="J77" s="16">
        <f t="shared" si="5"/>
        <v>0.12331142298677478</v>
      </c>
      <c r="K77" s="17">
        <f t="shared" si="6"/>
        <v>8.2440646464481735E-5</v>
      </c>
      <c r="L77" s="18">
        <f t="shared" si="7"/>
        <v>3.1172250908661186E-7</v>
      </c>
      <c r="M77" s="18">
        <f t="shared" si="8"/>
        <v>9.2723424462805798E-6</v>
      </c>
      <c r="N77" s="18">
        <f t="shared" si="11"/>
        <v>9.5840649553671925E-6</v>
      </c>
      <c r="O77" s="19">
        <f t="shared" si="12"/>
        <v>1.2665257199648772E-9</v>
      </c>
      <c r="P77" s="74">
        <f t="shared" si="13"/>
        <v>4.0454563017061092E-13</v>
      </c>
    </row>
    <row r="78" spans="2:19">
      <c r="B78" s="15">
        <f t="shared" si="9"/>
        <v>453</v>
      </c>
      <c r="C78" s="64">
        <f t="shared" si="10"/>
        <v>7745</v>
      </c>
      <c r="D78" s="16">
        <v>0.15540000000000001</v>
      </c>
      <c r="E78" s="120">
        <v>0.1883</v>
      </c>
      <c r="F78" s="16">
        <f t="shared" si="3"/>
        <v>0.66526132206881183</v>
      </c>
      <c r="G78" s="16">
        <f t="shared" si="4"/>
        <v>0.97445776611885537</v>
      </c>
      <c r="H78" s="20">
        <v>9.1249999999999998E-2</v>
      </c>
      <c r="I78" s="120">
        <v>0.1014</v>
      </c>
      <c r="J78" s="16">
        <f t="shared" si="5"/>
        <v>0.12176603859890656</v>
      </c>
      <c r="K78" s="17">
        <f t="shared" si="6"/>
        <v>7.9653112414455665E-5</v>
      </c>
      <c r="L78" s="18">
        <f t="shared" si="7"/>
        <v>3.0025441473542177E-7</v>
      </c>
      <c r="M78" s="18">
        <f t="shared" si="8"/>
        <v>9.2122333470612401E-6</v>
      </c>
      <c r="N78" s="18">
        <f t="shared" si="11"/>
        <v>9.5124877617966624E-6</v>
      </c>
      <c r="O78" s="19">
        <f t="shared" si="12"/>
        <v>1.3038168915385172E-9</v>
      </c>
      <c r="P78" s="74">
        <f t="shared" si="13"/>
        <v>4.2867048420865148E-13</v>
      </c>
    </row>
    <row r="79" spans="2:19">
      <c r="B79" s="15">
        <f t="shared" si="9"/>
        <v>459.5</v>
      </c>
      <c r="C79" s="64">
        <f t="shared" si="10"/>
        <v>7530</v>
      </c>
      <c r="D79" s="16">
        <v>0.1522</v>
      </c>
      <c r="E79" s="120">
        <v>0.184</v>
      </c>
      <c r="F79" s="16">
        <f t="shared" si="3"/>
        <v>0.67148204635716846</v>
      </c>
      <c r="G79" s="16">
        <f t="shared" si="4"/>
        <v>0.97497709555371947</v>
      </c>
      <c r="H79" s="20">
        <v>9.0700000000000003E-2</v>
      </c>
      <c r="I79" s="120">
        <v>0.10009999999999999</v>
      </c>
      <c r="J79" s="16">
        <f t="shared" si="5"/>
        <v>0.12032741214782883</v>
      </c>
      <c r="K79" s="17">
        <f t="shared" si="6"/>
        <v>7.6997556601886416E-5</v>
      </c>
      <c r="L79" s="18">
        <f t="shared" si="7"/>
        <v>2.8949760412401413E-7</v>
      </c>
      <c r="M79" s="18">
        <f t="shared" si="8"/>
        <v>9.153362014396823E-6</v>
      </c>
      <c r="N79" s="18">
        <f t="shared" si="11"/>
        <v>9.4428596185208377E-6</v>
      </c>
      <c r="O79" s="19">
        <f t="shared" si="12"/>
        <v>1.3425043583540945E-9</v>
      </c>
      <c r="P79" s="74">
        <f t="shared" si="13"/>
        <v>4.5414789964400188E-13</v>
      </c>
    </row>
    <row r="80" spans="2:19">
      <c r="B80" s="15">
        <f t="shared" si="9"/>
        <v>466</v>
      </c>
      <c r="C80" s="64">
        <f t="shared" si="10"/>
        <v>7315</v>
      </c>
      <c r="D80" s="16">
        <v>0.14910000000000001</v>
      </c>
      <c r="E80" s="120">
        <v>0.1799</v>
      </c>
      <c r="F80" s="16">
        <f t="shared" si="3"/>
        <v>0.67746760016940766</v>
      </c>
      <c r="G80" s="16">
        <f t="shared" si="4"/>
        <v>0.97548045987616194</v>
      </c>
      <c r="H80" s="20">
        <v>9.0160000000000004E-2</v>
      </c>
      <c r="I80" s="120">
        <v>9.8839999999999997E-2</v>
      </c>
      <c r="J80" s="16">
        <f t="shared" si="5"/>
        <v>0.11893052772749724</v>
      </c>
      <c r="K80" s="17">
        <f t="shared" si="6"/>
        <v>7.4465993728961788E-5</v>
      </c>
      <c r="L80" s="18">
        <f t="shared" si="7"/>
        <v>2.7919635009212691E-7</v>
      </c>
      <c r="M80" s="18">
        <f t="shared" si="8"/>
        <v>9.0956859848589219E-6</v>
      </c>
      <c r="N80" s="18">
        <f t="shared" ref="N80:N111" si="14">L80+M80</f>
        <v>9.3748823349510489E-6</v>
      </c>
      <c r="O80" s="19">
        <f t="shared" ref="O80:O111" si="15">100*$O$5*SQRT(N80)/(C80*J80*SQRT(($O$4*B80)*$O$6))/$L$5</f>
        <v>1.3834024045811435E-9</v>
      </c>
      <c r="P80" s="74">
        <f t="shared" ref="P80:P111" si="16">O80*B80*B80*0.0000000016021773</f>
        <v>4.8131670380159944E-13</v>
      </c>
      <c r="S80" s="51"/>
    </row>
    <row r="81" spans="2:19">
      <c r="B81" s="15">
        <f t="shared" si="9"/>
        <v>472.5</v>
      </c>
      <c r="C81" s="64">
        <f t="shared" si="10"/>
        <v>7100</v>
      </c>
      <c r="D81" s="16">
        <v>0.1462</v>
      </c>
      <c r="E81" s="120">
        <v>0.17599999999999999</v>
      </c>
      <c r="F81" s="16">
        <f t="shared" ref="F81:F113" si="17">EXP(-$C$5*$C$6*E81)</f>
        <v>0.68321068294563503</v>
      </c>
      <c r="G81" s="16">
        <f t="shared" ref="G81:G115" si="18">EXP(-1*D81*$C$5*$C$7)</f>
        <v>0.97595158434828544</v>
      </c>
      <c r="H81" s="20">
        <v>8.9630000000000001E-2</v>
      </c>
      <c r="I81" s="120">
        <v>9.7610000000000002E-2</v>
      </c>
      <c r="J81" s="16">
        <f t="shared" ref="J81:J115" si="19">1-EXP(-H81*$I$4*$I$6)*EXP(-I81*$I$5*$I$7)</f>
        <v>0.1175646494277085</v>
      </c>
      <c r="K81" s="17">
        <f t="shared" ref="K81:K115" si="20">MIN(167*POWER(B81,-2.38),11.6*POWER(B81,-1.41))</f>
        <v>7.2051023854566629E-5</v>
      </c>
      <c r="L81" s="18">
        <f t="shared" ref="L81:L115" si="21">K81*$N$10*J81*(MAX(G81*($D$10-$D$8),0)+MAX(G81*F81*($D$9-$D$10),0)+F81*$D$11+$D$12)</f>
        <v>2.6930362512683771E-7</v>
      </c>
      <c r="M81" s="18">
        <f t="shared" ref="M81:M115" si="22">$K$120*0.000084*(B81/10)^(-0.45)</f>
        <v>9.0391648180806154E-6</v>
      </c>
      <c r="N81" s="18">
        <f t="shared" si="14"/>
        <v>9.3084684432074535E-6</v>
      </c>
      <c r="O81" s="19">
        <f t="shared" si="15"/>
        <v>1.4268205487249327E-9</v>
      </c>
      <c r="P81" s="74">
        <f t="shared" si="16"/>
        <v>5.1036813973338544E-13</v>
      </c>
      <c r="S81" s="51"/>
    </row>
    <row r="82" spans="2:19">
      <c r="B82" s="15">
        <f t="shared" ref="B82:B115" si="23">B81+6.5</f>
        <v>479</v>
      </c>
      <c r="C82" s="64">
        <f t="shared" si="10"/>
        <v>6885</v>
      </c>
      <c r="D82" s="16">
        <v>0.1434</v>
      </c>
      <c r="E82" s="120">
        <v>0.17230000000000001</v>
      </c>
      <c r="F82" s="16">
        <f t="shared" si="17"/>
        <v>0.6887042468344573</v>
      </c>
      <c r="G82" s="16">
        <f t="shared" si="18"/>
        <v>0.97640667905124123</v>
      </c>
      <c r="H82" s="20">
        <v>8.9109999999999995E-2</v>
      </c>
      <c r="I82" s="120">
        <v>9.6430000000000002E-2</v>
      </c>
      <c r="J82" s="16">
        <f t="shared" si="19"/>
        <v>0.11625184547013845</v>
      </c>
      <c r="K82" s="17">
        <f t="shared" si="20"/>
        <v>6.974578219448116E-5</v>
      </c>
      <c r="L82" s="18">
        <f t="shared" si="21"/>
        <v>2.5984953943423357E-7</v>
      </c>
      <c r="M82" s="18">
        <f t="shared" si="22"/>
        <v>8.9837599741279707E-6</v>
      </c>
      <c r="N82" s="18">
        <f t="shared" si="14"/>
        <v>9.2436095135622037E-6</v>
      </c>
      <c r="O82" s="19">
        <f t="shared" si="15"/>
        <v>1.4727040678761873E-9</v>
      </c>
      <c r="P82" s="74">
        <f t="shared" si="16"/>
        <v>5.4137361728665652E-13</v>
      </c>
      <c r="S82" s="51"/>
    </row>
    <row r="83" spans="2:19">
      <c r="B83" s="15">
        <f t="shared" si="23"/>
        <v>485.5</v>
      </c>
      <c r="C83" s="64">
        <f t="shared" si="10"/>
        <v>6670</v>
      </c>
      <c r="D83" s="16">
        <v>0.14080000000000001</v>
      </c>
      <c r="E83" s="120">
        <v>0.16880000000000001</v>
      </c>
      <c r="F83" s="16">
        <f t="shared" si="17"/>
        <v>0.69394151108668278</v>
      </c>
      <c r="G83" s="16">
        <f t="shared" si="18"/>
        <v>0.97682945700628843</v>
      </c>
      <c r="H83" s="20">
        <v>8.8590000000000002E-2</v>
      </c>
      <c r="I83" s="120">
        <v>9.5299999999999996E-2</v>
      </c>
      <c r="J83" s="16">
        <f t="shared" si="19"/>
        <v>0.11499196064631179</v>
      </c>
      <c r="K83" s="17">
        <f t="shared" si="20"/>
        <v>6.7543893835312284E-5</v>
      </c>
      <c r="L83" s="18">
        <f t="shared" si="21"/>
        <v>2.5081211838640051E-7</v>
      </c>
      <c r="M83" s="18">
        <f t="shared" si="22"/>
        <v>8.9294346998528353E-6</v>
      </c>
      <c r="N83" s="18">
        <f t="shared" si="14"/>
        <v>9.180246818239236E-6</v>
      </c>
      <c r="O83" s="19">
        <f t="shared" si="15"/>
        <v>1.5212671845566298E-9</v>
      </c>
      <c r="P83" s="74">
        <f t="shared" si="16"/>
        <v>5.7450596188558548E-13</v>
      </c>
      <c r="S83" s="51"/>
    </row>
    <row r="84" spans="2:19">
      <c r="B84" s="15">
        <f t="shared" si="23"/>
        <v>492</v>
      </c>
      <c r="C84" s="64">
        <f t="shared" si="10"/>
        <v>6455</v>
      </c>
      <c r="D84" s="16">
        <v>0.13819999999999999</v>
      </c>
      <c r="E84" s="120">
        <v>0.1653</v>
      </c>
      <c r="F84" s="16">
        <f t="shared" si="17"/>
        <v>0.69921860221230681</v>
      </c>
      <c r="G84" s="16">
        <f t="shared" si="18"/>
        <v>0.97725241802153295</v>
      </c>
      <c r="H84" s="20">
        <v>8.8090000000000002E-2</v>
      </c>
      <c r="I84" s="120">
        <v>9.4210000000000002E-2</v>
      </c>
      <c r="J84" s="16">
        <f t="shared" si="19"/>
        <v>0.11377503520228771</v>
      </c>
      <c r="K84" s="17">
        <f t="shared" si="20"/>
        <v>6.543943282317023E-5</v>
      </c>
      <c r="L84" s="18">
        <f t="shared" si="21"/>
        <v>2.4225471958542635E-7</v>
      </c>
      <c r="M84" s="18">
        <f t="shared" si="22"/>
        <v>8.8761539234587171E-6</v>
      </c>
      <c r="N84" s="18">
        <f t="shared" si="14"/>
        <v>9.118408643044143E-6</v>
      </c>
      <c r="O84" s="19">
        <f t="shared" si="15"/>
        <v>1.5728959613625803E-9</v>
      </c>
      <c r="P84" s="74">
        <f t="shared" si="16"/>
        <v>6.1001536922783798E-13</v>
      </c>
      <c r="S84" s="51"/>
    </row>
    <row r="85" spans="2:19">
      <c r="B85" s="15">
        <f t="shared" si="23"/>
        <v>498.5</v>
      </c>
      <c r="C85" s="64">
        <f t="shared" si="10"/>
        <v>6240</v>
      </c>
      <c r="D85" s="16">
        <v>0.1358</v>
      </c>
      <c r="E85" s="120">
        <v>0.16209999999999999</v>
      </c>
      <c r="F85" s="16">
        <f t="shared" si="17"/>
        <v>0.70407848124234429</v>
      </c>
      <c r="G85" s="16">
        <f t="shared" si="18"/>
        <v>0.97764300612207944</v>
      </c>
      <c r="H85" s="20">
        <v>8.7590000000000001E-2</v>
      </c>
      <c r="I85" s="120">
        <v>9.3149999999999997E-2</v>
      </c>
      <c r="J85" s="16">
        <f t="shared" si="19"/>
        <v>0.1125894487181478</v>
      </c>
      <c r="K85" s="17">
        <f t="shared" si="20"/>
        <v>6.3426885153424148E-5</v>
      </c>
      <c r="L85" s="18">
        <f t="shared" si="21"/>
        <v>2.339728978809077E-7</v>
      </c>
      <c r="M85" s="18">
        <f t="shared" si="22"/>
        <v>8.8238841565865136E-6</v>
      </c>
      <c r="N85" s="18">
        <f t="shared" si="14"/>
        <v>9.0578570544674211E-6</v>
      </c>
      <c r="O85" s="19">
        <f t="shared" si="15"/>
        <v>1.6280364192999056E-9</v>
      </c>
      <c r="P85" s="74">
        <f t="shared" si="16"/>
        <v>6.48194013058772E-13</v>
      </c>
      <c r="S85" s="51"/>
    </row>
    <row r="86" spans="2:19">
      <c r="B86" s="15">
        <f t="shared" si="23"/>
        <v>505</v>
      </c>
      <c r="C86" s="64">
        <f t="shared" si="10"/>
        <v>6025</v>
      </c>
      <c r="D86" s="16">
        <v>0.13350000000000001</v>
      </c>
      <c r="E86" s="120">
        <v>0.159</v>
      </c>
      <c r="F86" s="16">
        <f t="shared" si="17"/>
        <v>0.7088186981717941</v>
      </c>
      <c r="G86" s="16">
        <f t="shared" si="18"/>
        <v>0.97801746620644225</v>
      </c>
      <c r="H86" s="20">
        <v>8.7110000000000007E-2</v>
      </c>
      <c r="I86" s="120">
        <v>9.2130000000000004E-2</v>
      </c>
      <c r="J86" s="16">
        <f t="shared" si="19"/>
        <v>0.11144714921546406</v>
      </c>
      <c r="K86" s="17">
        <f t="shared" si="20"/>
        <v>6.1501115244543678E-5</v>
      </c>
      <c r="L86" s="18">
        <f t="shared" si="21"/>
        <v>2.2607947645735647E-7</v>
      </c>
      <c r="M86" s="18">
        <f t="shared" si="22"/>
        <v>8.7725934032935456E-6</v>
      </c>
      <c r="N86" s="18">
        <f t="shared" si="14"/>
        <v>8.9986728797509018E-6</v>
      </c>
      <c r="O86" s="19">
        <f t="shared" si="15"/>
        <v>1.6868783966182327E-9</v>
      </c>
      <c r="P86" s="74">
        <f t="shared" si="16"/>
        <v>6.8925052706201598E-13</v>
      </c>
      <c r="S86" s="51"/>
    </row>
    <row r="87" spans="2:19">
      <c r="B87" s="15">
        <f t="shared" si="23"/>
        <v>511.5</v>
      </c>
      <c r="C87" s="64">
        <f t="shared" ref="C87:C113" si="24">C86-215</f>
        <v>5810</v>
      </c>
      <c r="D87" s="16">
        <v>0.13120000000000001</v>
      </c>
      <c r="E87" s="120">
        <v>0.156</v>
      </c>
      <c r="F87" s="16">
        <f t="shared" si="17"/>
        <v>0.71343638864932346</v>
      </c>
      <c r="G87" s="16">
        <f t="shared" si="18"/>
        <v>0.97839206971775539</v>
      </c>
      <c r="H87" s="20">
        <v>8.6629999999999999E-2</v>
      </c>
      <c r="I87" s="120">
        <v>9.1149999999999995E-2</v>
      </c>
      <c r="J87" s="16">
        <f t="shared" si="19"/>
        <v>0.11034750717114805</v>
      </c>
      <c r="K87" s="17">
        <f t="shared" si="20"/>
        <v>5.9657335528293044E-5</v>
      </c>
      <c r="L87" s="18">
        <f t="shared" si="21"/>
        <v>2.1855274546206427E-7</v>
      </c>
      <c r="M87" s="18">
        <f t="shared" si="22"/>
        <v>8.7222510753588497E-6</v>
      </c>
      <c r="N87" s="18">
        <f t="shared" si="14"/>
        <v>8.9408038208209137E-6</v>
      </c>
      <c r="O87" s="19">
        <f t="shared" si="15"/>
        <v>1.7498186984433758E-9</v>
      </c>
      <c r="P87" s="74">
        <f t="shared" si="16"/>
        <v>7.334911926078919E-13</v>
      </c>
      <c r="S87" s="51"/>
    </row>
    <row r="88" spans="2:19">
      <c r="B88" s="15">
        <f t="shared" si="23"/>
        <v>518</v>
      </c>
      <c r="C88" s="64">
        <f t="shared" si="24"/>
        <v>5595</v>
      </c>
      <c r="D88" s="16">
        <v>0.129</v>
      </c>
      <c r="E88" s="120">
        <v>0.15310000000000001</v>
      </c>
      <c r="F88" s="16">
        <f t="shared" si="17"/>
        <v>0.71792874916807659</v>
      </c>
      <c r="G88" s="16">
        <f t="shared" si="18"/>
        <v>0.97875052037912369</v>
      </c>
      <c r="H88" s="20">
        <v>8.616E-2</v>
      </c>
      <c r="I88" s="120">
        <v>9.0200000000000002E-2</v>
      </c>
      <c r="J88" s="16">
        <f t="shared" si="19"/>
        <v>0.1092800404859493</v>
      </c>
      <c r="K88" s="17">
        <f t="shared" si="20"/>
        <v>5.7891078831451714E-5</v>
      </c>
      <c r="L88" s="18">
        <f t="shared" si="21"/>
        <v>2.1135330897990836E-7</v>
      </c>
      <c r="M88" s="18">
        <f t="shared" si="22"/>
        <v>8.672827913400911E-6</v>
      </c>
      <c r="N88" s="18">
        <f t="shared" si="14"/>
        <v>8.8841812223808195E-6</v>
      </c>
      <c r="O88" s="19">
        <f t="shared" si="15"/>
        <v>1.8174778832500312E-9</v>
      </c>
      <c r="P88" s="74">
        <f t="shared" si="16"/>
        <v>7.8133850715485272E-13</v>
      </c>
      <c r="S88" s="51"/>
    </row>
    <row r="89" spans="2:19">
      <c r="B89" s="15">
        <f t="shared" si="23"/>
        <v>524.5</v>
      </c>
      <c r="C89" s="64">
        <f t="shared" si="24"/>
        <v>5380</v>
      </c>
      <c r="D89" s="16">
        <v>0.127</v>
      </c>
      <c r="E89" s="120">
        <v>0.15029999999999999</v>
      </c>
      <c r="F89" s="16">
        <f t="shared" si="17"/>
        <v>0.72229303989680427</v>
      </c>
      <c r="G89" s="16">
        <f t="shared" si="18"/>
        <v>0.9790764985747672</v>
      </c>
      <c r="H89" s="20">
        <v>8.5690000000000002E-2</v>
      </c>
      <c r="I89" s="120">
        <v>8.9279999999999998E-2</v>
      </c>
      <c r="J89" s="16">
        <f t="shared" si="19"/>
        <v>0.1082444669031426</v>
      </c>
      <c r="K89" s="17">
        <f t="shared" si="20"/>
        <v>5.6198173261663764E-5</v>
      </c>
      <c r="L89" s="18">
        <f t="shared" si="21"/>
        <v>2.0446410896281805E-7</v>
      </c>
      <c r="M89" s="18">
        <f t="shared" si="22"/>
        <v>8.6242959133416233E-6</v>
      </c>
      <c r="N89" s="18">
        <f t="shared" si="14"/>
        <v>8.8287600223044407E-6</v>
      </c>
      <c r="O89" s="19">
        <f t="shared" si="15"/>
        <v>1.8904072600103862E-9</v>
      </c>
      <c r="P89" s="74">
        <f t="shared" si="16"/>
        <v>8.3321472388142991E-13</v>
      </c>
      <c r="S89" s="51"/>
    </row>
    <row r="90" spans="2:19">
      <c r="B90" s="15">
        <f t="shared" si="23"/>
        <v>531</v>
      </c>
      <c r="C90" s="64">
        <f t="shared" si="24"/>
        <v>5165</v>
      </c>
      <c r="D90" s="16">
        <v>0.125</v>
      </c>
      <c r="E90" s="120">
        <v>0.14760000000000001</v>
      </c>
      <c r="F90" s="16">
        <f t="shared" si="17"/>
        <v>0.72652658746000631</v>
      </c>
      <c r="G90" s="16">
        <f t="shared" si="18"/>
        <v>0.97940258533922553</v>
      </c>
      <c r="H90" s="20">
        <v>8.523E-2</v>
      </c>
      <c r="I90" s="120">
        <v>8.8389999999999996E-2</v>
      </c>
      <c r="J90" s="16">
        <f t="shared" si="19"/>
        <v>0.10724130233399021</v>
      </c>
      <c r="K90" s="17">
        <f t="shared" si="20"/>
        <v>5.4574719342737682E-5</v>
      </c>
      <c r="L90" s="18">
        <f t="shared" si="21"/>
        <v>1.9787065204592766E-7</v>
      </c>
      <c r="M90" s="18">
        <f t="shared" si="22"/>
        <v>8.5766282577929055E-6</v>
      </c>
      <c r="N90" s="18">
        <f t="shared" si="14"/>
        <v>8.7744989098388326E-6</v>
      </c>
      <c r="O90" s="19">
        <f t="shared" si="15"/>
        <v>1.969235900241086E-9</v>
      </c>
      <c r="P90" s="74">
        <f t="shared" si="16"/>
        <v>8.8960529873734494E-13</v>
      </c>
      <c r="S90" s="51"/>
    </row>
    <row r="91" spans="2:19">
      <c r="B91" s="15">
        <f t="shared" si="23"/>
        <v>537.5</v>
      </c>
      <c r="C91" s="64">
        <f t="shared" si="24"/>
        <v>4950</v>
      </c>
      <c r="D91" s="16">
        <v>0.123</v>
      </c>
      <c r="E91" s="120">
        <v>0.14510000000000001</v>
      </c>
      <c r="F91" s="16">
        <f t="shared" si="17"/>
        <v>0.7304686606088745</v>
      </c>
      <c r="G91" s="16">
        <f t="shared" si="18"/>
        <v>0.97972878070865821</v>
      </c>
      <c r="H91" s="20">
        <v>8.4779999999999994E-2</v>
      </c>
      <c r="I91" s="120">
        <v>8.7529999999999997E-2</v>
      </c>
      <c r="J91" s="16">
        <f t="shared" si="19"/>
        <v>0.10627065881579389</v>
      </c>
      <c r="K91" s="17">
        <f t="shared" si="20"/>
        <v>5.3017069173360769E-5</v>
      </c>
      <c r="L91" s="18">
        <f t="shared" si="21"/>
        <v>1.9151707165292712E-7</v>
      </c>
      <c r="M91" s="18">
        <f t="shared" si="22"/>
        <v>8.5297992519807261E-6</v>
      </c>
      <c r="N91" s="18">
        <f t="shared" si="14"/>
        <v>8.7213163236336533E-6</v>
      </c>
      <c r="O91" s="19">
        <f t="shared" si="15"/>
        <v>2.0547049225286154E-9</v>
      </c>
      <c r="P91" s="74">
        <f t="shared" si="16"/>
        <v>9.5107983293767153E-13</v>
      </c>
      <c r="S91" s="51"/>
    </row>
    <row r="92" spans="2:19">
      <c r="B92" s="15">
        <f t="shared" si="23"/>
        <v>544</v>
      </c>
      <c r="C92" s="64">
        <f t="shared" si="24"/>
        <v>4735</v>
      </c>
      <c r="D92" s="16">
        <v>0.1212</v>
      </c>
      <c r="E92" s="120">
        <v>0.1426</v>
      </c>
      <c r="F92" s="16">
        <f t="shared" si="17"/>
        <v>0.73443212312047124</v>
      </c>
      <c r="G92" s="16">
        <f t="shared" si="18"/>
        <v>0.98002244942829619</v>
      </c>
      <c r="H92" s="20">
        <v>8.4339999999999998E-2</v>
      </c>
      <c r="I92" s="120">
        <v>8.6690000000000003E-2</v>
      </c>
      <c r="J92" s="16">
        <f t="shared" si="19"/>
        <v>0.10532155089058814</v>
      </c>
      <c r="K92" s="17">
        <f t="shared" si="20"/>
        <v>5.1521807408315198E-5</v>
      </c>
      <c r="L92" s="18">
        <f t="shared" si="21"/>
        <v>1.8545446560848007E-7</v>
      </c>
      <c r="M92" s="18">
        <f t="shared" si="22"/>
        <v>8.4837842638556398E-6</v>
      </c>
      <c r="N92" s="18">
        <f t="shared" si="14"/>
        <v>8.6692387294641191E-6</v>
      </c>
      <c r="O92" s="19">
        <f t="shared" si="15"/>
        <v>2.147929638363173E-9</v>
      </c>
      <c r="P92" s="74">
        <f t="shared" si="16"/>
        <v>1.0184235288375254E-12</v>
      </c>
      <c r="S92" s="51"/>
    </row>
    <row r="93" spans="2:19">
      <c r="B93" s="15">
        <f t="shared" si="23"/>
        <v>550.5</v>
      </c>
      <c r="C93" s="64">
        <f t="shared" si="24"/>
        <v>4520</v>
      </c>
      <c r="D93" s="16">
        <v>0.11940000000000001</v>
      </c>
      <c r="E93" s="120">
        <v>0.14030000000000001</v>
      </c>
      <c r="F93" s="16">
        <f t="shared" si="17"/>
        <v>0.7380974994735805</v>
      </c>
      <c r="G93" s="16">
        <f t="shared" si="18"/>
        <v>0.98031620617363935</v>
      </c>
      <c r="H93" s="20">
        <v>8.3900000000000002E-2</v>
      </c>
      <c r="I93" s="120">
        <v>8.5879999999999998E-2</v>
      </c>
      <c r="J93" s="16">
        <f t="shared" si="19"/>
        <v>0.1044047518103437</v>
      </c>
      <c r="K93" s="17">
        <f t="shared" si="20"/>
        <v>5.008573388335161E-5</v>
      </c>
      <c r="L93" s="18">
        <f t="shared" si="21"/>
        <v>1.7960805792710117E-7</v>
      </c>
      <c r="M93" s="18">
        <f t="shared" si="22"/>
        <v>8.4385596680699766E-6</v>
      </c>
      <c r="N93" s="18">
        <f t="shared" si="14"/>
        <v>8.6181677259970785E-6</v>
      </c>
      <c r="O93" s="19">
        <f t="shared" si="15"/>
        <v>2.2497608628120911E-9</v>
      </c>
      <c r="P93" s="74">
        <f t="shared" si="16"/>
        <v>1.0923494097204493E-12</v>
      </c>
      <c r="S93" s="51"/>
    </row>
    <row r="94" spans="2:19">
      <c r="B94" s="15">
        <f t="shared" si="23"/>
        <v>557</v>
      </c>
      <c r="C94" s="64">
        <f t="shared" si="24"/>
        <v>4305</v>
      </c>
      <c r="D94" s="16">
        <v>0.1176</v>
      </c>
      <c r="E94" s="120">
        <v>0.13800000000000001</v>
      </c>
      <c r="F94" s="16">
        <f t="shared" si="17"/>
        <v>0.74178116884981193</v>
      </c>
      <c r="G94" s="16">
        <f t="shared" si="18"/>
        <v>0.98061005097107301</v>
      </c>
      <c r="H94" s="20">
        <v>8.3470000000000003E-2</v>
      </c>
      <c r="I94" s="120">
        <v>8.5099999999999995E-2</v>
      </c>
      <c r="J94" s="16">
        <f t="shared" si="19"/>
        <v>0.10352076634200746</v>
      </c>
      <c r="K94" s="17">
        <f t="shared" si="20"/>
        <v>4.870584772429117E-5</v>
      </c>
      <c r="L94" s="18">
        <f t="shared" si="21"/>
        <v>1.7404543837214408E-7</v>
      </c>
      <c r="M94" s="18">
        <f t="shared" si="22"/>
        <v>8.3941027935297082E-6</v>
      </c>
      <c r="N94" s="18">
        <f t="shared" si="14"/>
        <v>8.5681482319018524E-6</v>
      </c>
      <c r="O94" s="19">
        <f t="shared" si="15"/>
        <v>2.3614649403602395E-9</v>
      </c>
      <c r="P94" s="74">
        <f t="shared" si="16"/>
        <v>1.1738225997742447E-12</v>
      </c>
      <c r="S94" s="51"/>
    </row>
    <row r="95" spans="2:19">
      <c r="B95" s="15">
        <f t="shared" si="23"/>
        <v>563.5</v>
      </c>
      <c r="C95" s="64">
        <f t="shared" si="24"/>
        <v>4090</v>
      </c>
      <c r="D95" s="16">
        <v>0.11600000000000001</v>
      </c>
      <c r="E95" s="120">
        <v>0.1358</v>
      </c>
      <c r="F95" s="16">
        <f t="shared" si="17"/>
        <v>0.74532188016369005</v>
      </c>
      <c r="G95" s="16">
        <f t="shared" si="18"/>
        <v>0.98087132028817958</v>
      </c>
      <c r="H95" s="20">
        <v>8.3049999999999999E-2</v>
      </c>
      <c r="I95" s="120">
        <v>8.4339999999999998E-2</v>
      </c>
      <c r="J95" s="16">
        <f t="shared" si="19"/>
        <v>0.1026585665047367</v>
      </c>
      <c r="K95" s="17">
        <f t="shared" si="20"/>
        <v>4.7379332798040219E-5</v>
      </c>
      <c r="L95" s="18">
        <f t="shared" si="21"/>
        <v>1.6869674012678974E-7</v>
      </c>
      <c r="M95" s="18">
        <f t="shared" si="22"/>
        <v>8.3503918742540816E-6</v>
      </c>
      <c r="N95" s="18">
        <f t="shared" si="14"/>
        <v>8.5190886143808708E-6</v>
      </c>
      <c r="O95" s="19">
        <f t="shared" si="15"/>
        <v>2.4848338363973316E-9</v>
      </c>
      <c r="P95" s="74">
        <f t="shared" si="16"/>
        <v>1.2641417284117346E-12</v>
      </c>
      <c r="S95" s="51"/>
    </row>
    <row r="96" spans="2:19">
      <c r="B96" s="15">
        <f t="shared" si="23"/>
        <v>570</v>
      </c>
      <c r="C96" s="64">
        <f t="shared" si="24"/>
        <v>3875</v>
      </c>
      <c r="D96" s="16">
        <v>0.1144</v>
      </c>
      <c r="E96" s="120">
        <v>0.1336</v>
      </c>
      <c r="F96" s="16">
        <f t="shared" si="17"/>
        <v>0.74887949219860916</v>
      </c>
      <c r="G96" s="16">
        <f t="shared" si="18"/>
        <v>0.98113265921670412</v>
      </c>
      <c r="H96" s="20">
        <v>8.2629999999999995E-2</v>
      </c>
      <c r="I96" s="120">
        <v>8.3589999999999998E-2</v>
      </c>
      <c r="J96" s="16">
        <f t="shared" si="19"/>
        <v>0.10180667510253838</v>
      </c>
      <c r="K96" s="17">
        <f t="shared" si="20"/>
        <v>4.6103544378300537E-5</v>
      </c>
      <c r="L96" s="18">
        <f t="shared" si="21"/>
        <v>1.6356923291868756E-7</v>
      </c>
      <c r="M96" s="18">
        <f t="shared" si="22"/>
        <v>8.3074060032990976E-6</v>
      </c>
      <c r="N96" s="18">
        <f t="shared" si="14"/>
        <v>8.470975236217786E-6</v>
      </c>
      <c r="O96" s="19">
        <f t="shared" si="15"/>
        <v>2.6220898266780992E-9</v>
      </c>
      <c r="P96" s="74">
        <f t="shared" si="16"/>
        <v>1.3649220543511037E-12</v>
      </c>
      <c r="S96" s="51"/>
    </row>
    <row r="97" spans="2:19">
      <c r="B97" s="15">
        <f t="shared" si="23"/>
        <v>576.5</v>
      </c>
      <c r="C97" s="64">
        <f t="shared" si="24"/>
        <v>3660</v>
      </c>
      <c r="D97" s="16">
        <v>0.1128</v>
      </c>
      <c r="E97" s="120">
        <v>0.13159999999999999</v>
      </c>
      <c r="F97" s="16">
        <f t="shared" si="17"/>
        <v>0.75212841874804925</v>
      </c>
      <c r="G97" s="16">
        <f t="shared" si="18"/>
        <v>0.98139406777519345</v>
      </c>
      <c r="H97" s="20">
        <v>8.2220000000000001E-2</v>
      </c>
      <c r="I97" s="120">
        <v>8.2869999999999999E-2</v>
      </c>
      <c r="J97" s="16">
        <f t="shared" si="19"/>
        <v>0.10098782340258261</v>
      </c>
      <c r="K97" s="17">
        <f t="shared" si="20"/>
        <v>4.4875996912110425E-5</v>
      </c>
      <c r="L97" s="18">
        <f t="shared" si="21"/>
        <v>1.586187991943505E-7</v>
      </c>
      <c r="M97" s="18">
        <f t="shared" si="22"/>
        <v>8.2651250895211672E-6</v>
      </c>
      <c r="N97" s="18">
        <f t="shared" si="14"/>
        <v>8.4237438887155178E-6</v>
      </c>
      <c r="O97" s="19">
        <f t="shared" si="15"/>
        <v>2.7750388800170887E-9</v>
      </c>
      <c r="P97" s="74">
        <f t="shared" si="16"/>
        <v>1.4776727678997652E-12</v>
      </c>
      <c r="S97" s="51"/>
    </row>
    <row r="98" spans="2:19">
      <c r="B98" s="15">
        <f t="shared" si="23"/>
        <v>583</v>
      </c>
      <c r="C98" s="64">
        <f t="shared" si="24"/>
        <v>3445</v>
      </c>
      <c r="D98" s="16">
        <v>0.1113</v>
      </c>
      <c r="E98" s="120">
        <v>0.12959999999999999</v>
      </c>
      <c r="F98" s="16">
        <f t="shared" si="17"/>
        <v>0.75539144038733175</v>
      </c>
      <c r="G98" s="16">
        <f t="shared" si="18"/>
        <v>0.98163920155342665</v>
      </c>
      <c r="H98" s="20">
        <v>8.1809999999999994E-2</v>
      </c>
      <c r="I98" s="120">
        <v>8.2170000000000007E-2</v>
      </c>
      <c r="J98" s="16">
        <f t="shared" si="19"/>
        <v>0.10019054073523592</v>
      </c>
      <c r="K98" s="17">
        <f t="shared" si="20"/>
        <v>4.3694352785161624E-5</v>
      </c>
      <c r="L98" s="18">
        <f t="shared" si="21"/>
        <v>1.5388774269948288E-7</v>
      </c>
      <c r="M98" s="18">
        <f t="shared" si="22"/>
        <v>8.2235298169761587E-6</v>
      </c>
      <c r="N98" s="18">
        <f t="shared" si="14"/>
        <v>8.3774175596756412E-6</v>
      </c>
      <c r="O98" s="19">
        <f t="shared" si="15"/>
        <v>2.9469387227467995E-9</v>
      </c>
      <c r="P98" s="74">
        <f t="shared" si="16"/>
        <v>1.6047921423316168E-12</v>
      </c>
      <c r="R98" s="16"/>
      <c r="S98" s="51"/>
    </row>
    <row r="99" spans="2:19">
      <c r="B99" s="15">
        <f t="shared" si="23"/>
        <v>589.5</v>
      </c>
      <c r="C99" s="64">
        <f t="shared" si="24"/>
        <v>3230</v>
      </c>
      <c r="D99" s="16">
        <v>0.1099</v>
      </c>
      <c r="E99" s="120">
        <v>0.12770000000000001</v>
      </c>
      <c r="F99" s="16">
        <f t="shared" si="17"/>
        <v>0.75850442221469894</v>
      </c>
      <c r="G99" s="16">
        <f t="shared" si="18"/>
        <v>0.98186804832236341</v>
      </c>
      <c r="H99" s="20">
        <v>8.1409999999999996E-2</v>
      </c>
      <c r="I99" s="120">
        <v>8.1490000000000007E-2</v>
      </c>
      <c r="J99" s="16">
        <f t="shared" si="19"/>
        <v>9.9415291054319121E-2</v>
      </c>
      <c r="K99" s="17">
        <f t="shared" si="20"/>
        <v>4.2556411994317457E-5</v>
      </c>
      <c r="L99" s="18">
        <f t="shared" si="21"/>
        <v>1.4933328639601674E-7</v>
      </c>
      <c r="M99" s="18">
        <f t="shared" si="22"/>
        <v>8.1826016067658003E-6</v>
      </c>
      <c r="N99" s="18">
        <f t="shared" si="14"/>
        <v>8.3319348931618164E-6</v>
      </c>
      <c r="O99" s="19">
        <f t="shared" si="15"/>
        <v>3.1415325702320499E-9</v>
      </c>
      <c r="P99" s="74">
        <f t="shared" si="16"/>
        <v>1.74912062074942E-12</v>
      </c>
      <c r="R99" s="16"/>
      <c r="S99" s="51"/>
    </row>
    <row r="100" spans="2:19">
      <c r="B100" s="15">
        <f t="shared" si="23"/>
        <v>596</v>
      </c>
      <c r="C100" s="64">
        <f t="shared" si="24"/>
        <v>3015</v>
      </c>
      <c r="D100" s="16">
        <v>0.1085</v>
      </c>
      <c r="E100" s="120">
        <v>0.12590000000000001</v>
      </c>
      <c r="F100" s="16">
        <f t="shared" si="17"/>
        <v>0.76146539567290428</v>
      </c>
      <c r="G100" s="16">
        <f t="shared" si="18"/>
        <v>0.98209694844169981</v>
      </c>
      <c r="H100" s="20">
        <v>8.1019999999999995E-2</v>
      </c>
      <c r="I100" s="120">
        <v>8.0820000000000003E-2</v>
      </c>
      <c r="J100" s="16">
        <f t="shared" si="19"/>
        <v>9.8650955850440813E-2</v>
      </c>
      <c r="K100" s="17">
        <f t="shared" si="20"/>
        <v>4.14601026450481E-5</v>
      </c>
      <c r="L100" s="18">
        <f t="shared" si="21"/>
        <v>1.4493141394929598E-7</v>
      </c>
      <c r="M100" s="18">
        <f t="shared" si="22"/>
        <v>8.1423225811587683E-6</v>
      </c>
      <c r="N100" s="18">
        <f t="shared" si="14"/>
        <v>8.2872539951080648E-6</v>
      </c>
      <c r="O100" s="19">
        <f t="shared" si="15"/>
        <v>3.3640297599173131E-9</v>
      </c>
      <c r="P100" s="74">
        <f t="shared" si="16"/>
        <v>1.9145332926191674E-12</v>
      </c>
      <c r="R100" s="16"/>
      <c r="S100" s="51"/>
    </row>
    <row r="101" spans="2:19">
      <c r="B101" s="15">
        <f t="shared" si="23"/>
        <v>602.5</v>
      </c>
      <c r="C101" s="64">
        <f t="shared" si="24"/>
        <v>2800</v>
      </c>
      <c r="D101" s="16">
        <v>0.1071</v>
      </c>
      <c r="E101" s="120">
        <v>0.1241</v>
      </c>
      <c r="F101" s="16">
        <f t="shared" si="17"/>
        <v>0.76443792788220377</v>
      </c>
      <c r="G101" s="16">
        <f t="shared" si="18"/>
        <v>0.98232590192387326</v>
      </c>
      <c r="H101" s="20">
        <v>8.0629999999999993E-2</v>
      </c>
      <c r="I101" s="120">
        <v>8.0170000000000005E-2</v>
      </c>
      <c r="J101" s="16">
        <f t="shared" si="19"/>
        <v>9.7908344098149191E-2</v>
      </c>
      <c r="K101" s="17">
        <f t="shared" si="20"/>
        <v>4.040347219976691E-5</v>
      </c>
      <c r="L101" s="18">
        <f t="shared" si="21"/>
        <v>1.407218974307319E-7</v>
      </c>
      <c r="M101" s="18">
        <f t="shared" si="22"/>
        <v>8.1026755298276562E-6</v>
      </c>
      <c r="N101" s="18">
        <f t="shared" si="14"/>
        <v>8.2433974272583889E-6</v>
      </c>
      <c r="O101" s="19">
        <f t="shared" si="15"/>
        <v>3.6204545922842202E-9</v>
      </c>
      <c r="P101" s="74">
        <f t="shared" si="16"/>
        <v>2.1056577431417087E-12</v>
      </c>
      <c r="R101" s="16"/>
      <c r="S101" s="51"/>
    </row>
    <row r="102" spans="2:19">
      <c r="B102" s="15">
        <f t="shared" si="23"/>
        <v>609</v>
      </c>
      <c r="C102" s="64">
        <f t="shared" si="24"/>
        <v>2585</v>
      </c>
      <c r="D102" s="16">
        <v>0.10580000000000001</v>
      </c>
      <c r="E102" s="120">
        <v>0.12230000000000001</v>
      </c>
      <c r="F102" s="16">
        <f t="shared" si="17"/>
        <v>0.7674220639644902</v>
      </c>
      <c r="G102" s="16">
        <f t="shared" si="18"/>
        <v>0.98253854937828522</v>
      </c>
      <c r="H102" s="20">
        <v>8.0240000000000006E-2</v>
      </c>
      <c r="I102" s="120">
        <v>7.954E-2</v>
      </c>
      <c r="J102" s="16">
        <f t="shared" si="19"/>
        <v>9.7187510543421118E-2</v>
      </c>
      <c r="K102" s="17">
        <f t="shared" si="20"/>
        <v>3.9384679410405425E-5</v>
      </c>
      <c r="L102" s="18">
        <f t="shared" si="21"/>
        <v>1.3669526223236659E-7</v>
      </c>
      <c r="M102" s="18">
        <f t="shared" si="22"/>
        <v>8.0636438780558028E-6</v>
      </c>
      <c r="N102" s="18">
        <f t="shared" si="14"/>
        <v>8.2003391402881701E-6</v>
      </c>
      <c r="O102" s="19">
        <f t="shared" si="15"/>
        <v>3.9192458175462089E-9</v>
      </c>
      <c r="P102" s="74">
        <f t="shared" si="16"/>
        <v>2.3288829591440521E-12</v>
      </c>
      <c r="R102" s="16"/>
      <c r="S102" s="51"/>
    </row>
    <row r="103" spans="2:19">
      <c r="B103" s="15">
        <f t="shared" si="23"/>
        <v>615.5</v>
      </c>
      <c r="C103" s="64">
        <f t="shared" si="24"/>
        <v>2370</v>
      </c>
      <c r="D103" s="16">
        <v>0.1045</v>
      </c>
      <c r="E103" s="120">
        <v>0.1207</v>
      </c>
      <c r="F103" s="16">
        <f t="shared" si="17"/>
        <v>0.77008440750953733</v>
      </c>
      <c r="G103" s="16">
        <f t="shared" si="18"/>
        <v>0.98275124286522042</v>
      </c>
      <c r="H103" s="20">
        <v>7.986E-2</v>
      </c>
      <c r="I103" s="120">
        <v>7.8920000000000004E-2</v>
      </c>
      <c r="J103" s="16">
        <f t="shared" si="19"/>
        <v>9.647771132888916E-2</v>
      </c>
      <c r="K103" s="17">
        <f t="shared" si="20"/>
        <v>3.8401986875119304E-5</v>
      </c>
      <c r="L103" s="18">
        <f t="shared" si="21"/>
        <v>1.3277025018099551E-7</v>
      </c>
      <c r="M103" s="18">
        <f t="shared" si="22"/>
        <v>8.025211656779326E-6</v>
      </c>
      <c r="N103" s="18">
        <f t="shared" si="14"/>
        <v>8.1579819069603218E-6</v>
      </c>
      <c r="O103" s="19">
        <f t="shared" si="15"/>
        <v>4.2723640301663029E-9</v>
      </c>
      <c r="P103" s="74">
        <f t="shared" si="16"/>
        <v>2.5931935863162696E-12</v>
      </c>
      <c r="R103" s="16"/>
      <c r="S103" s="51"/>
    </row>
    <row r="104" spans="2:19">
      <c r="B104" s="15">
        <f t="shared" si="23"/>
        <v>622</v>
      </c>
      <c r="C104" s="64">
        <f t="shared" si="24"/>
        <v>2155</v>
      </c>
      <c r="D104" s="16">
        <v>0.1033</v>
      </c>
      <c r="E104" s="120">
        <v>0.1191</v>
      </c>
      <c r="F104" s="16">
        <f t="shared" si="17"/>
        <v>0.77275598726694361</v>
      </c>
      <c r="G104" s="16">
        <f t="shared" si="18"/>
        <v>0.98294761618058579</v>
      </c>
      <c r="H104" s="20">
        <v>7.9490000000000005E-2</v>
      </c>
      <c r="I104" s="120">
        <v>7.8320000000000001E-2</v>
      </c>
      <c r="J104" s="16">
        <f t="shared" si="19"/>
        <v>9.5790185649957116E-2</v>
      </c>
      <c r="K104" s="17">
        <f t="shared" si="20"/>
        <v>3.7453754164865901E-5</v>
      </c>
      <c r="L104" s="18">
        <f t="shared" si="21"/>
        <v>1.2901518411039881E-7</v>
      </c>
      <c r="M104" s="18">
        <f t="shared" si="22"/>
        <v>7.9873634743403559E-6</v>
      </c>
      <c r="N104" s="18">
        <f t="shared" si="14"/>
        <v>8.1163786584507539E-6</v>
      </c>
      <c r="O104" s="19">
        <f t="shared" si="15"/>
        <v>4.6955223983038441E-9</v>
      </c>
      <c r="P104" s="74">
        <f t="shared" si="16"/>
        <v>2.9105513122147474E-12</v>
      </c>
      <c r="R104" s="16"/>
      <c r="S104" s="51"/>
    </row>
    <row r="105" spans="2:19">
      <c r="B105" s="15">
        <f t="shared" si="23"/>
        <v>628.5</v>
      </c>
      <c r="C105" s="64">
        <f t="shared" si="24"/>
        <v>1940</v>
      </c>
      <c r="D105" s="16">
        <v>0.1021</v>
      </c>
      <c r="E105" s="120">
        <v>0.11749999999999999</v>
      </c>
      <c r="F105" s="16">
        <f t="shared" si="17"/>
        <v>0.77543683527901197</v>
      </c>
      <c r="G105" s="16">
        <f t="shared" si="18"/>
        <v>0.98314402873525952</v>
      </c>
      <c r="H105" s="20">
        <v>7.9119999999999996E-2</v>
      </c>
      <c r="I105" s="120">
        <v>7.7729999999999994E-2</v>
      </c>
      <c r="J105" s="16">
        <f t="shared" si="19"/>
        <v>9.5113357469605142E-2</v>
      </c>
      <c r="K105" s="17">
        <f t="shared" si="20"/>
        <v>3.6538431470820703E-5</v>
      </c>
      <c r="L105" s="18">
        <f t="shared" si="21"/>
        <v>1.2540655509128205E-7</v>
      </c>
      <c r="M105" s="18">
        <f t="shared" si="22"/>
        <v>7.9500844898369832E-6</v>
      </c>
      <c r="N105" s="18">
        <f t="shared" si="14"/>
        <v>8.0754910449282652E-6</v>
      </c>
      <c r="O105" s="19">
        <f t="shared" si="15"/>
        <v>5.2126052225765382E-9</v>
      </c>
      <c r="P105" s="74">
        <f t="shared" si="16"/>
        <v>3.2989518218746411E-12</v>
      </c>
      <c r="R105" s="16"/>
      <c r="S105" s="51"/>
    </row>
    <row r="106" spans="2:19">
      <c r="B106" s="15">
        <f t="shared" si="23"/>
        <v>635</v>
      </c>
      <c r="C106" s="64">
        <f t="shared" si="24"/>
        <v>1725</v>
      </c>
      <c r="D106" s="16">
        <v>0.1009</v>
      </c>
      <c r="E106" s="120">
        <v>0.11600000000000001</v>
      </c>
      <c r="F106" s="16">
        <f t="shared" si="17"/>
        <v>0.77795857634012922</v>
      </c>
      <c r="G106" s="16">
        <f t="shared" si="18"/>
        <v>0.98334048053708223</v>
      </c>
      <c r="H106" s="20">
        <v>7.8759999999999997E-2</v>
      </c>
      <c r="I106" s="120">
        <v>7.7160000000000006E-2</v>
      </c>
      <c r="J106" s="16">
        <f t="shared" si="19"/>
        <v>9.4458887864802721E-2</v>
      </c>
      <c r="K106" s="17">
        <f t="shared" si="20"/>
        <v>3.5654553728274531E-5</v>
      </c>
      <c r="L106" s="18">
        <f t="shared" si="21"/>
        <v>1.2192619626829575E-7</v>
      </c>
      <c r="M106" s="18">
        <f t="shared" si="22"/>
        <v>7.9133603879641614E-6</v>
      </c>
      <c r="N106" s="18">
        <f t="shared" si="14"/>
        <v>8.0352865842324568E-6</v>
      </c>
      <c r="O106" s="19">
        <f t="shared" si="15"/>
        <v>5.8579834929757468E-9</v>
      </c>
      <c r="P106" s="74">
        <f t="shared" si="16"/>
        <v>3.7844795988564905E-12</v>
      </c>
      <c r="R106" s="16"/>
      <c r="S106" s="51"/>
    </row>
    <row r="107" spans="2:19">
      <c r="B107" s="15">
        <f t="shared" si="23"/>
        <v>641.5</v>
      </c>
      <c r="C107" s="64">
        <f t="shared" si="24"/>
        <v>1510</v>
      </c>
      <c r="D107" s="16">
        <v>9.9790000000000004E-2</v>
      </c>
      <c r="E107" s="120">
        <v>0.1145</v>
      </c>
      <c r="F107" s="16">
        <f t="shared" si="17"/>
        <v>0.78048851816975517</v>
      </c>
      <c r="G107" s="16">
        <f t="shared" si="18"/>
        <v>0.98352223340280331</v>
      </c>
      <c r="H107" s="20">
        <v>7.8399999999999997E-2</v>
      </c>
      <c r="I107" s="120">
        <v>7.6600000000000001E-2</v>
      </c>
      <c r="J107" s="16">
        <f t="shared" si="19"/>
        <v>9.3815181668794878E-2</v>
      </c>
      <c r="K107" s="17">
        <f t="shared" si="20"/>
        <v>3.4800735176837822E-5</v>
      </c>
      <c r="L107" s="18">
        <f t="shared" si="21"/>
        <v>1.18579899418962E-7</v>
      </c>
      <c r="M107" s="18">
        <f t="shared" si="22"/>
        <v>7.8771773552479035E-6</v>
      </c>
      <c r="N107" s="18">
        <f t="shared" si="14"/>
        <v>7.9957572546668656E-6</v>
      </c>
      <c r="O107" s="19">
        <f t="shared" si="15"/>
        <v>6.6872513495549037E-9</v>
      </c>
      <c r="P107" s="74">
        <f t="shared" si="16"/>
        <v>4.4091161813559156E-12</v>
      </c>
      <c r="R107" s="16"/>
      <c r="S107" s="51"/>
    </row>
    <row r="108" spans="2:19">
      <c r="B108" s="15">
        <f t="shared" si="23"/>
        <v>648</v>
      </c>
      <c r="C108" s="64">
        <f t="shared" si="24"/>
        <v>1295</v>
      </c>
      <c r="D108" s="16">
        <v>9.8699999999999996E-2</v>
      </c>
      <c r="E108" s="120">
        <v>0.11310000000000001</v>
      </c>
      <c r="F108" s="16">
        <f t="shared" si="17"/>
        <v>0.78285721965182264</v>
      </c>
      <c r="G108" s="16">
        <f t="shared" si="18"/>
        <v>0.9837007441333524</v>
      </c>
      <c r="H108" s="20">
        <v>7.8039999999999998E-2</v>
      </c>
      <c r="I108" s="120">
        <v>7.6050000000000006E-2</v>
      </c>
      <c r="J108" s="16">
        <f t="shared" si="19"/>
        <v>9.3182262502266244E-2</v>
      </c>
      <c r="K108" s="17">
        <f t="shared" si="20"/>
        <v>3.3975664320533017E-5</v>
      </c>
      <c r="L108" s="18">
        <f t="shared" si="21"/>
        <v>1.1533658220169971E-7</v>
      </c>
      <c r="M108" s="18">
        <f t="shared" si="22"/>
        <v>7.8415220575823191E-6</v>
      </c>
      <c r="N108" s="18">
        <f t="shared" si="14"/>
        <v>7.9568586397840192E-6</v>
      </c>
      <c r="O108" s="19">
        <f t="shared" si="15"/>
        <v>7.7919569968731538E-9</v>
      </c>
      <c r="P108" s="74">
        <f t="shared" si="16"/>
        <v>5.2421221083700579E-12</v>
      </c>
      <c r="R108" s="16"/>
      <c r="S108" s="51"/>
    </row>
    <row r="109" spans="2:19">
      <c r="B109" s="15">
        <f t="shared" si="23"/>
        <v>654.5</v>
      </c>
      <c r="C109" s="64">
        <f t="shared" si="24"/>
        <v>1080</v>
      </c>
      <c r="D109" s="16">
        <v>9.7629999999999995E-2</v>
      </c>
      <c r="E109" s="120">
        <v>0.11169999999999999</v>
      </c>
      <c r="F109" s="16">
        <f t="shared" si="17"/>
        <v>0.78523310989654405</v>
      </c>
      <c r="G109" s="16">
        <f t="shared" si="18"/>
        <v>0.98387601095128996</v>
      </c>
      <c r="H109" s="20">
        <v>7.7689999999999995E-2</v>
      </c>
      <c r="I109" s="120">
        <v>7.5520000000000004E-2</v>
      </c>
      <c r="J109" s="16">
        <f t="shared" si="19"/>
        <v>9.2571814128238006E-2</v>
      </c>
      <c r="K109" s="17">
        <f t="shared" si="20"/>
        <v>3.3178099254725153E-5</v>
      </c>
      <c r="L109" s="18">
        <f t="shared" si="21"/>
        <v>1.1223090765032416E-7</v>
      </c>
      <c r="M109" s="18">
        <f t="shared" si="22"/>
        <v>7.8063816189858518E-6</v>
      </c>
      <c r="N109" s="18">
        <f t="shared" si="14"/>
        <v>7.9186125266361757E-6</v>
      </c>
      <c r="O109" s="19">
        <f t="shared" si="15"/>
        <v>9.335410913861427E-9</v>
      </c>
      <c r="P109" s="74">
        <f t="shared" si="16"/>
        <v>6.4071267407337581E-12</v>
      </c>
      <c r="R109" s="16"/>
      <c r="S109" s="51"/>
    </row>
    <row r="110" spans="2:19">
      <c r="B110" s="15">
        <f t="shared" si="23"/>
        <v>661</v>
      </c>
      <c r="C110" s="64">
        <f t="shared" si="24"/>
        <v>865</v>
      </c>
      <c r="D110" s="120">
        <v>9.6600000000000005E-2</v>
      </c>
      <c r="E110" s="120">
        <v>0.1103</v>
      </c>
      <c r="F110" s="16">
        <f t="shared" si="17"/>
        <v>0.78761621072106613</v>
      </c>
      <c r="G110" s="16">
        <f t="shared" si="18"/>
        <v>0.98404475523677504</v>
      </c>
      <c r="H110" s="62">
        <v>7.7340000000000006E-2</v>
      </c>
      <c r="I110" s="120">
        <v>7.4990000000000001E-2</v>
      </c>
      <c r="J110" s="16">
        <f t="shared" si="19"/>
        <v>9.1960954814720997E-2</v>
      </c>
      <c r="K110" s="17">
        <f t="shared" si="20"/>
        <v>3.2406863329868743E-5</v>
      </c>
      <c r="L110" s="18">
        <f t="shared" si="21"/>
        <v>1.0922925871176795E-7</v>
      </c>
      <c r="M110" s="18">
        <f t="shared" si="22"/>
        <v>7.7717436014991545E-6</v>
      </c>
      <c r="N110" s="18">
        <f t="shared" si="14"/>
        <v>7.8809728602109229E-6</v>
      </c>
      <c r="O110" s="19">
        <f t="shared" si="15"/>
        <v>1.1647584106469642E-8</v>
      </c>
      <c r="P110" s="74">
        <f t="shared" si="16"/>
        <v>8.153598993640392E-12</v>
      </c>
      <c r="R110" s="16"/>
      <c r="S110" s="51"/>
    </row>
    <row r="111" spans="2:19">
      <c r="B111" s="15">
        <f t="shared" si="23"/>
        <v>667.5</v>
      </c>
      <c r="C111" s="64">
        <f t="shared" si="24"/>
        <v>650</v>
      </c>
      <c r="D111" s="120">
        <v>9.5589999999999994E-2</v>
      </c>
      <c r="E111" s="120">
        <v>0.109</v>
      </c>
      <c r="F111" s="16">
        <f t="shared" si="17"/>
        <v>0.78983556559710433</v>
      </c>
      <c r="G111" s="16">
        <f t="shared" si="18"/>
        <v>0.98421025103795012</v>
      </c>
      <c r="H111" s="62">
        <v>7.6999999999999999E-2</v>
      </c>
      <c r="I111" s="120">
        <v>7.4480000000000005E-2</v>
      </c>
      <c r="J111" s="16">
        <f t="shared" si="19"/>
        <v>9.1372627415894137E-2</v>
      </c>
      <c r="K111" s="17">
        <f t="shared" si="20"/>
        <v>3.1660841124770134E-5</v>
      </c>
      <c r="L111" s="18">
        <f t="shared" si="21"/>
        <v>1.0633087522468034E-7</v>
      </c>
      <c r="M111" s="18">
        <f t="shared" si="22"/>
        <v>7.7375959861526877E-6</v>
      </c>
      <c r="N111" s="18">
        <f t="shared" si="14"/>
        <v>7.8439268613773679E-6</v>
      </c>
      <c r="O111" s="19">
        <f t="shared" si="15"/>
        <v>1.5487378457380176E-8</v>
      </c>
      <c r="P111" s="74">
        <f t="shared" si="16"/>
        <v>1.1055821683360235E-11</v>
      </c>
      <c r="R111" s="16"/>
      <c r="S111" s="51"/>
    </row>
    <row r="112" spans="2:19">
      <c r="B112" s="15">
        <f t="shared" si="23"/>
        <v>674</v>
      </c>
      <c r="C112" s="64">
        <f t="shared" si="24"/>
        <v>435</v>
      </c>
      <c r="D112" s="120">
        <v>9.4619999999999996E-2</v>
      </c>
      <c r="E112" s="120">
        <v>0.10780000000000001</v>
      </c>
      <c r="F112" s="16">
        <f t="shared" si="17"/>
        <v>0.79188975111103532</v>
      </c>
      <c r="G112" s="16">
        <f t="shared" si="18"/>
        <v>0.98436921875123873</v>
      </c>
      <c r="H112" s="62">
        <v>7.6660000000000006E-2</v>
      </c>
      <c r="I112" s="120">
        <v>7.3980000000000004E-2</v>
      </c>
      <c r="J112" s="16">
        <f t="shared" si="19"/>
        <v>9.0795193043484379E-2</v>
      </c>
      <c r="K112" s="17">
        <f t="shared" si="20"/>
        <v>3.0938974704522112E-5</v>
      </c>
      <c r="L112" s="18">
        <f t="shared" si="21"/>
        <v>1.0351848251909192E-7</v>
      </c>
      <c r="M112" s="18">
        <f t="shared" si="22"/>
        <v>7.7039271549373589E-6</v>
      </c>
      <c r="N112" s="18">
        <f t="shared" ref="N112:N115" si="25">L112+M112</f>
        <v>7.8074456374564511E-6</v>
      </c>
      <c r="O112" s="19">
        <f t="shared" ref="O112:O115" si="26">100*$O$5*SQRT(N112)/(C112*J112*SQRT(($O$4*B112)*$O$6))/$L$5</f>
        <v>2.312270673849308E-8</v>
      </c>
      <c r="P112" s="74">
        <f t="shared" ref="P112:P115" si="27">O112*B112*B112*0.0000000016021773</f>
        <v>1.6829415718875541E-11</v>
      </c>
      <c r="R112" s="16"/>
      <c r="S112" s="51"/>
    </row>
    <row r="113" spans="2:19">
      <c r="B113" s="15">
        <f t="shared" si="23"/>
        <v>680.5</v>
      </c>
      <c r="C113" s="64">
        <f t="shared" si="24"/>
        <v>220</v>
      </c>
      <c r="D113" s="120">
        <v>9.3659999999999993E-2</v>
      </c>
      <c r="E113" s="120">
        <v>0.1065</v>
      </c>
      <c r="F113" s="16">
        <f t="shared" si="17"/>
        <v>0.79412114802299583</v>
      </c>
      <c r="G113" s="16">
        <f t="shared" si="18"/>
        <v>0.98452657290257273</v>
      </c>
      <c r="H113" s="62">
        <v>7.6329999999999995E-2</v>
      </c>
      <c r="I113" s="120">
        <v>7.349E-2</v>
      </c>
      <c r="J113" s="16">
        <f t="shared" si="19"/>
        <v>9.0229082341869216E-2</v>
      </c>
      <c r="K113" s="17">
        <f t="shared" si="20"/>
        <v>3.0240260140473353E-5</v>
      </c>
      <c r="L113" s="18">
        <f t="shared" si="21"/>
        <v>1.0083318452962647E-7</v>
      </c>
      <c r="M113" s="18">
        <f t="shared" si="22"/>
        <v>7.6707258737161869E-6</v>
      </c>
      <c r="N113" s="18">
        <f t="shared" si="25"/>
        <v>7.7715590582458138E-6</v>
      </c>
      <c r="O113" s="19">
        <f t="shared" si="26"/>
        <v>4.5681150995508703E-8</v>
      </c>
      <c r="P113" s="74">
        <f t="shared" si="27"/>
        <v>3.389252080599061E-11</v>
      </c>
      <c r="R113" s="16"/>
      <c r="S113" s="51"/>
    </row>
    <row r="114" spans="2:19">
      <c r="B114" s="15">
        <f t="shared" si="23"/>
        <v>687</v>
      </c>
      <c r="C114" s="64">
        <v>100</v>
      </c>
      <c r="D114" s="120">
        <v>9.2740000000000003E-2</v>
      </c>
      <c r="E114" s="120">
        <v>0.1053</v>
      </c>
      <c r="F114" s="16">
        <f>EXP(-$C$5*$C$6*E114)</f>
        <v>0.79618647937755682</v>
      </c>
      <c r="G114" s="16">
        <f t="shared" si="18"/>
        <v>0.98467739423412082</v>
      </c>
      <c r="H114" s="62">
        <v>7.5999999999999998E-2</v>
      </c>
      <c r="I114" s="120">
        <v>7.3010000000000005E-2</v>
      </c>
      <c r="J114" s="16">
        <f t="shared" si="19"/>
        <v>8.9673907268492892E-2</v>
      </c>
      <c r="K114" s="17">
        <f t="shared" si="20"/>
        <v>2.9563744271595402E-5</v>
      </c>
      <c r="L114" s="18">
        <f t="shared" si="21"/>
        <v>9.8225722792177909E-8</v>
      </c>
      <c r="M114" s="18">
        <f t="shared" si="22"/>
        <v>7.6379812760194926E-6</v>
      </c>
      <c r="N114" s="18">
        <f t="shared" si="25"/>
        <v>7.7362069988116701E-6</v>
      </c>
      <c r="O114" s="19">
        <f t="shared" si="26"/>
        <v>1.0041204852836032E-7</v>
      </c>
      <c r="P114" s="74">
        <f t="shared" si="27"/>
        <v>7.5929383849908048E-11</v>
      </c>
      <c r="R114" s="16"/>
      <c r="S114" s="51"/>
    </row>
    <row r="115" spans="2:19">
      <c r="B115" s="21">
        <f t="shared" si="23"/>
        <v>693.5</v>
      </c>
      <c r="C115" s="63">
        <v>40</v>
      </c>
      <c r="D115" s="22">
        <v>9.1840000000000005E-2</v>
      </c>
      <c r="E115" s="22">
        <v>0.1042</v>
      </c>
      <c r="F115" s="22">
        <f>EXP(-$C$5*$C$6*E115)</f>
        <v>0.79808441812765873</v>
      </c>
      <c r="G115" s="22">
        <f t="shared" si="18"/>
        <v>0.98482495919767554</v>
      </c>
      <c r="H115" s="23">
        <v>7.5679999999999997E-2</v>
      </c>
      <c r="I115" s="22">
        <v>7.2539999999999993E-2</v>
      </c>
      <c r="J115" s="22">
        <f t="shared" si="19"/>
        <v>8.9130098160676408E-2</v>
      </c>
      <c r="K115" s="54">
        <f t="shared" si="20"/>
        <v>2.8908521688409911E-5</v>
      </c>
      <c r="L115" s="18">
        <f t="shared" si="21"/>
        <v>9.5693898109765514E-8</v>
      </c>
      <c r="M115" s="24">
        <f t="shared" si="22"/>
        <v>7.6056828476699802E-6</v>
      </c>
      <c r="N115" s="24">
        <f t="shared" si="25"/>
        <v>7.701376745779745E-6</v>
      </c>
      <c r="O115" s="55">
        <f t="shared" si="26"/>
        <v>2.5080883101785323E-7</v>
      </c>
      <c r="P115" s="75">
        <f t="shared" si="27"/>
        <v>1.9326193747748322E-10</v>
      </c>
      <c r="R115" s="16"/>
      <c r="S115" s="51"/>
    </row>
    <row r="116" spans="2:19" ht="12.75" thickBot="1">
      <c r="C116" s="65"/>
      <c r="E116"/>
      <c r="R116" s="16"/>
      <c r="S116" s="51"/>
    </row>
    <row r="117" spans="2:19">
      <c r="C117" s="65"/>
      <c r="D117" s="146" t="s">
        <v>51</v>
      </c>
      <c r="E117" s="147"/>
      <c r="F117" s="38">
        <f>0.803*SUM(L16:L115)</f>
        <v>3.3552150218866399E-5</v>
      </c>
      <c r="G117" s="5" t="s">
        <v>53</v>
      </c>
      <c r="I117" s="129" t="s">
        <v>66</v>
      </c>
      <c r="J117" s="129"/>
      <c r="K117" s="12">
        <f>'bruit interne'!$B$12</f>
        <v>0.13353681800839373</v>
      </c>
      <c r="L117" s="3" t="s">
        <v>71</v>
      </c>
      <c r="R117" s="16"/>
      <c r="S117" s="51"/>
    </row>
    <row r="118" spans="2:19">
      <c r="D118" s="148" t="s">
        <v>52</v>
      </c>
      <c r="E118" s="149"/>
      <c r="F118" s="39">
        <f>0.803*SUM(M16:M115)</f>
        <v>9.1894159050973914E-4</v>
      </c>
      <c r="G118" s="6" t="s">
        <v>53</v>
      </c>
      <c r="I118" s="129" t="s">
        <v>74</v>
      </c>
      <c r="J118" s="129"/>
      <c r="K118" s="66">
        <f>$K$117*$I$8*$I$8*$N$11</f>
        <v>9.1806562380770691E-4</v>
      </c>
      <c r="L118" s="3" t="s">
        <v>53</v>
      </c>
      <c r="R118" s="16"/>
      <c r="S118" s="51"/>
    </row>
    <row r="119" spans="2:19" ht="12.75" thickBot="1">
      <c r="D119" s="150" t="s">
        <v>54</v>
      </c>
      <c r="E119" s="151"/>
      <c r="F119" s="40">
        <f>0.803*SUM(N16:N115)</f>
        <v>9.5249374072860584E-4</v>
      </c>
      <c r="G119" s="7" t="s">
        <v>53</v>
      </c>
      <c r="I119" s="129" t="s">
        <v>73</v>
      </c>
      <c r="J119" s="129"/>
      <c r="K119" s="37">
        <f>K120*K118/F118</f>
        <v>0.60941852703832533</v>
      </c>
      <c r="R119" s="16"/>
      <c r="S119" s="51"/>
    </row>
    <row r="120" spans="2:19" ht="13.5" thickTop="1" thickBot="1">
      <c r="I120" s="129" t="s">
        <v>99</v>
      </c>
      <c r="J120" s="129"/>
      <c r="K120" s="34">
        <v>0.61</v>
      </c>
      <c r="M120" s="50" t="s">
        <v>112</v>
      </c>
      <c r="R120" s="16"/>
      <c r="S120" s="51"/>
    </row>
    <row r="121" spans="2:19" ht="12.75" thickTop="1">
      <c r="R121" s="16"/>
      <c r="S121" s="51"/>
    </row>
    <row r="122" spans="2:19">
      <c r="N122" s="47"/>
      <c r="O122" s="3"/>
      <c r="P122" s="3"/>
      <c r="R122" s="16"/>
      <c r="S122" s="51"/>
    </row>
    <row r="123" spans="2:19">
      <c r="R123" s="16"/>
      <c r="S123" s="51"/>
    </row>
    <row r="124" spans="2:19">
      <c r="R124" s="16"/>
      <c r="S124" s="51"/>
    </row>
    <row r="125" spans="2:19">
      <c r="R125" s="16"/>
      <c r="S125" s="51"/>
    </row>
    <row r="126" spans="2:19">
      <c r="R126" s="16"/>
      <c r="S126" s="51"/>
    </row>
    <row r="127" spans="2:19">
      <c r="R127" s="16"/>
      <c r="S127" s="51"/>
    </row>
    <row r="128" spans="2:19">
      <c r="R128" s="16"/>
      <c r="S128" s="51"/>
    </row>
    <row r="129" spans="18:19">
      <c r="R129" s="16"/>
      <c r="S129" s="51"/>
    </row>
    <row r="130" spans="18:19">
      <c r="R130" s="16"/>
      <c r="S130" s="51"/>
    </row>
    <row r="131" spans="18:19">
      <c r="R131" s="16"/>
      <c r="S131" s="51"/>
    </row>
    <row r="132" spans="18:19">
      <c r="R132" s="16"/>
      <c r="S132" s="51"/>
    </row>
    <row r="133" spans="18:19">
      <c r="R133" s="16"/>
      <c r="S133" s="51"/>
    </row>
    <row r="134" spans="18:19">
      <c r="R134" s="16"/>
      <c r="S134" s="51"/>
    </row>
    <row r="135" spans="18:19">
      <c r="R135" s="16"/>
      <c r="S135" s="51"/>
    </row>
    <row r="136" spans="18:19">
      <c r="R136" s="16"/>
      <c r="S136" s="51"/>
    </row>
    <row r="137" spans="18:19">
      <c r="R137" s="16"/>
      <c r="S137" s="51"/>
    </row>
    <row r="138" spans="18:19">
      <c r="R138" s="16"/>
      <c r="S138" s="51"/>
    </row>
    <row r="139" spans="18:19">
      <c r="R139" s="16"/>
      <c r="S139" s="51"/>
    </row>
    <row r="140" spans="18:19">
      <c r="R140" s="16"/>
      <c r="S140" s="51"/>
    </row>
    <row r="141" spans="18:19">
      <c r="R141" s="16"/>
      <c r="S141" s="51"/>
    </row>
    <row r="142" spans="18:19">
      <c r="R142" s="16"/>
      <c r="S142" s="51"/>
    </row>
    <row r="143" spans="18:19">
      <c r="R143" s="16"/>
      <c r="S143" s="51"/>
    </row>
    <row r="144" spans="18:19">
      <c r="R144" s="16"/>
      <c r="S144" s="51"/>
    </row>
    <row r="145" spans="18:19">
      <c r="R145" s="16"/>
      <c r="S145" s="51"/>
    </row>
    <row r="146" spans="18:19">
      <c r="R146" s="16"/>
      <c r="S146" s="51"/>
    </row>
    <row r="147" spans="18:19">
      <c r="R147" s="16"/>
      <c r="S147" s="51"/>
    </row>
    <row r="148" spans="18:19">
      <c r="R148" s="16"/>
      <c r="S148" s="51"/>
    </row>
    <row r="149" spans="18:19">
      <c r="R149" s="16"/>
      <c r="S149" s="51"/>
    </row>
    <row r="150" spans="18:19">
      <c r="R150" s="16"/>
      <c r="S150" s="51"/>
    </row>
    <row r="151" spans="18:19">
      <c r="R151" s="16"/>
      <c r="S151" s="51"/>
    </row>
    <row r="152" spans="18:19">
      <c r="R152" s="16"/>
      <c r="S152" s="51"/>
    </row>
    <row r="153" spans="18:19">
      <c r="R153" s="16"/>
      <c r="S153" s="51"/>
    </row>
    <row r="154" spans="18:19">
      <c r="R154" s="16"/>
      <c r="S154" s="51"/>
    </row>
    <row r="155" spans="18:19">
      <c r="R155" s="16"/>
      <c r="S155" s="51"/>
    </row>
    <row r="156" spans="18:19">
      <c r="R156" s="16"/>
      <c r="S156" s="51"/>
    </row>
    <row r="157" spans="18:19">
      <c r="R157" s="16"/>
      <c r="S157" s="51"/>
    </row>
    <row r="158" spans="18:19">
      <c r="R158" s="16"/>
      <c r="S158" s="51"/>
    </row>
    <row r="159" spans="18:19">
      <c r="R159" s="16"/>
      <c r="S159" s="51"/>
    </row>
    <row r="160" spans="18:19">
      <c r="R160" s="16"/>
      <c r="S160" s="51"/>
    </row>
    <row r="161" spans="18:19">
      <c r="R161" s="16"/>
      <c r="S161" s="51"/>
    </row>
    <row r="162" spans="18:19">
      <c r="R162" s="16"/>
      <c r="S162" s="51"/>
    </row>
    <row r="163" spans="18:19">
      <c r="R163" s="16"/>
      <c r="S163" s="51"/>
    </row>
    <row r="164" spans="18:19">
      <c r="R164" s="16"/>
      <c r="S164" s="51"/>
    </row>
    <row r="165" spans="18:19">
      <c r="R165" s="16"/>
      <c r="S165" s="51"/>
    </row>
    <row r="166" spans="18:19">
      <c r="R166" s="16"/>
      <c r="S166" s="51"/>
    </row>
    <row r="167" spans="18:19">
      <c r="R167" s="16"/>
      <c r="S167" s="51"/>
    </row>
    <row r="168" spans="18:19">
      <c r="R168" s="16"/>
      <c r="S168" s="51"/>
    </row>
    <row r="169" spans="18:19">
      <c r="R169" s="16"/>
      <c r="S169" s="51"/>
    </row>
    <row r="170" spans="18:19">
      <c r="R170" s="16"/>
      <c r="S170" s="51"/>
    </row>
    <row r="171" spans="18:19">
      <c r="R171" s="16"/>
      <c r="S171" s="51"/>
    </row>
    <row r="172" spans="18:19">
      <c r="R172" s="16"/>
      <c r="S172" s="51"/>
    </row>
    <row r="173" spans="18:19">
      <c r="R173" s="16"/>
      <c r="S173" s="51"/>
    </row>
    <row r="174" spans="18:19">
      <c r="R174" s="16"/>
      <c r="S174" s="51"/>
    </row>
    <row r="175" spans="18:19">
      <c r="R175" s="16"/>
      <c r="S175" s="51"/>
    </row>
    <row r="176" spans="18:19">
      <c r="R176" s="16"/>
      <c r="S176" s="51"/>
    </row>
    <row r="177" spans="18:19">
      <c r="R177" s="16"/>
      <c r="S177" s="51"/>
    </row>
    <row r="178" spans="18:19">
      <c r="R178" s="16"/>
      <c r="S178" s="51"/>
    </row>
    <row r="179" spans="18:19">
      <c r="R179" s="16"/>
      <c r="S179" s="51"/>
    </row>
    <row r="180" spans="18:19">
      <c r="R180" s="16"/>
    </row>
    <row r="181" spans="18:19">
      <c r="R181" s="16"/>
    </row>
    <row r="182" spans="18:19">
      <c r="R182" s="16"/>
    </row>
    <row r="183" spans="18:19">
      <c r="R183" s="16"/>
    </row>
    <row r="184" spans="18:19">
      <c r="R184" s="16"/>
    </row>
    <row r="185" spans="18:19">
      <c r="R185" s="16"/>
    </row>
    <row r="186" spans="18:19">
      <c r="R186" s="16"/>
    </row>
    <row r="187" spans="18:19">
      <c r="R187" s="16"/>
    </row>
    <row r="188" spans="18:19">
      <c r="R188" s="16"/>
    </row>
    <row r="189" spans="18:19">
      <c r="R189" s="16"/>
    </row>
    <row r="190" spans="18:19">
      <c r="R190" s="16"/>
    </row>
    <row r="191" spans="18:19">
      <c r="R191" s="16"/>
    </row>
    <row r="192" spans="18:19">
      <c r="R192" s="16"/>
    </row>
    <row r="193" spans="18:18">
      <c r="R193" s="22"/>
    </row>
    <row r="194" spans="18:18">
      <c r="R194" s="52"/>
    </row>
    <row r="195" spans="18:18">
      <c r="R195" s="52"/>
    </row>
  </sheetData>
  <mergeCells count="24">
    <mergeCell ref="D118:E118"/>
    <mergeCell ref="I118:J118"/>
    <mergeCell ref="D119:E119"/>
    <mergeCell ref="I119:J119"/>
    <mergeCell ref="I120:J120"/>
    <mergeCell ref="N13:N14"/>
    <mergeCell ref="O13:P14"/>
    <mergeCell ref="D117:E117"/>
    <mergeCell ref="I117:J117"/>
    <mergeCell ref="B11:C11"/>
    <mergeCell ref="F11:H11"/>
    <mergeCell ref="L11:M11"/>
    <mergeCell ref="B12:C12"/>
    <mergeCell ref="B13:B14"/>
    <mergeCell ref="K13:K14"/>
    <mergeCell ref="L13:L14"/>
    <mergeCell ref="M13:M14"/>
    <mergeCell ref="B10:C10"/>
    <mergeCell ref="L10:M10"/>
    <mergeCell ref="B2:E2"/>
    <mergeCell ref="F2:K2"/>
    <mergeCell ref="B8:C8"/>
    <mergeCell ref="B9:C9"/>
    <mergeCell ref="L9:M9"/>
  </mergeCells>
  <pageMargins left="0.7" right="0.7" top="0.75" bottom="0.75" header="0.3" footer="0.3"/>
  <pageSetup paperSize="9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6"/>
  <sheetViews>
    <sheetView zoomScaleNormal="100" workbookViewId="0">
      <selection activeCell="T18" sqref="T18"/>
    </sheetView>
  </sheetViews>
  <sheetFormatPr baseColWidth="10" defaultRowHeight="12"/>
  <cols>
    <col min="3" max="3" width="12.140625" bestFit="1" customWidth="1"/>
    <col min="8" max="8" width="13.42578125" bestFit="1" customWidth="1"/>
    <col min="9" max="9" width="13.85546875" customWidth="1"/>
    <col min="14" max="14" width="8.5703125" customWidth="1"/>
    <col min="15" max="15" width="9.85546875" customWidth="1"/>
    <col min="16" max="16" width="8.42578125" customWidth="1"/>
    <col min="17" max="17" width="8.28515625" customWidth="1"/>
    <col min="18" max="18" width="11.5703125" customWidth="1"/>
  </cols>
  <sheetData>
    <row r="1" spans="1:20" ht="12.75" thickTop="1">
      <c r="A1" s="3"/>
      <c r="B1" s="3"/>
      <c r="C1" s="3"/>
      <c r="D1" s="3"/>
      <c r="E1" s="3"/>
      <c r="F1" s="26"/>
      <c r="G1" s="27"/>
      <c r="H1" s="27"/>
      <c r="I1" s="27"/>
      <c r="J1" s="27"/>
      <c r="K1" s="27"/>
      <c r="L1" s="27"/>
      <c r="M1" s="28"/>
      <c r="N1" s="3"/>
      <c r="O1" s="78"/>
      <c r="P1" s="78"/>
      <c r="Q1" s="78"/>
    </row>
    <row r="2" spans="1:20" ht="18">
      <c r="A2" s="3"/>
      <c r="B2" s="103"/>
      <c r="C2" s="119"/>
      <c r="D2" s="103"/>
      <c r="E2" s="104"/>
      <c r="F2" s="140" t="s">
        <v>171</v>
      </c>
      <c r="G2" s="141"/>
      <c r="H2" s="141"/>
      <c r="I2" s="141"/>
      <c r="J2" s="141"/>
      <c r="K2" s="141"/>
      <c r="L2" s="42" t="s">
        <v>129</v>
      </c>
      <c r="M2" s="32"/>
      <c r="N2" s="3"/>
      <c r="O2" s="78"/>
      <c r="P2" s="78"/>
      <c r="Q2" s="78"/>
    </row>
    <row r="3" spans="1:20" ht="12.75" thickBot="1">
      <c r="A3" s="3"/>
      <c r="B3" s="3"/>
      <c r="C3" s="3"/>
      <c r="D3" s="3"/>
      <c r="E3" s="3"/>
      <c r="F3" s="29"/>
      <c r="G3" s="30"/>
      <c r="H3" s="30"/>
      <c r="I3" s="30"/>
      <c r="J3" s="30"/>
      <c r="K3" s="30"/>
      <c r="L3" s="30"/>
      <c r="M3" s="31"/>
      <c r="N3" s="3"/>
      <c r="O3" s="78"/>
      <c r="P3" s="78"/>
      <c r="Q3" s="78"/>
    </row>
    <row r="4" spans="1:20" ht="12.75" thickTop="1">
      <c r="A4" s="3"/>
      <c r="B4" s="3"/>
      <c r="C4" s="3"/>
      <c r="D4" s="3"/>
      <c r="E4" s="3"/>
      <c r="F4" s="14"/>
      <c r="G4" s="14"/>
      <c r="H4" s="14"/>
      <c r="I4" s="14"/>
      <c r="J4" s="14"/>
      <c r="K4" s="14"/>
      <c r="L4" s="14"/>
      <c r="M4" s="14"/>
      <c r="N4" s="3"/>
      <c r="O4" s="78"/>
      <c r="P4" s="78"/>
      <c r="Q4" s="78"/>
    </row>
    <row r="5" spans="1:20" ht="12.75" thickBot="1">
      <c r="A5" s="3"/>
    </row>
    <row r="6" spans="1:20" ht="13.5" thickTop="1" thickBot="1">
      <c r="A6" s="3"/>
      <c r="B6" s="3" t="s">
        <v>44</v>
      </c>
      <c r="C6" s="3">
        <v>1</v>
      </c>
      <c r="D6" s="3" t="s">
        <v>37</v>
      </c>
      <c r="H6" s="3" t="s">
        <v>156</v>
      </c>
      <c r="I6" s="102">
        <v>1000000</v>
      </c>
      <c r="J6" s="108" t="s">
        <v>155</v>
      </c>
    </row>
    <row r="7" spans="1:20" ht="13.5" thickTop="1" thickBot="1">
      <c r="A7" s="86"/>
      <c r="B7" s="3" t="s">
        <v>45</v>
      </c>
      <c r="C7" s="3">
        <v>6.2</v>
      </c>
      <c r="D7" s="3" t="s">
        <v>37</v>
      </c>
      <c r="H7" s="100" t="s">
        <v>153</v>
      </c>
      <c r="I7" s="102">
        <v>1.0000000000000001E-9</v>
      </c>
      <c r="J7" s="108" t="s">
        <v>154</v>
      </c>
    </row>
    <row r="8" spans="1:20" ht="25.5" thickTop="1" thickBot="1">
      <c r="A8" s="86"/>
      <c r="B8" s="3" t="s">
        <v>46</v>
      </c>
      <c r="C8" s="34">
        <v>4.4999999999999998E-2</v>
      </c>
      <c r="D8" s="3" t="s">
        <v>40</v>
      </c>
      <c r="H8" s="86"/>
      <c r="I8" s="101"/>
      <c r="J8" s="87"/>
      <c r="O8" s="113" t="s">
        <v>158</v>
      </c>
      <c r="P8" s="111" t="s">
        <v>168</v>
      </c>
      <c r="Q8" s="113" t="s">
        <v>159</v>
      </c>
      <c r="R8" s="113" t="s">
        <v>162</v>
      </c>
      <c r="S8" s="113" t="s">
        <v>160</v>
      </c>
      <c r="T8" s="113" t="s">
        <v>161</v>
      </c>
    </row>
    <row r="9" spans="1:20" ht="13.5" thickTop="1" thickBot="1">
      <c r="A9" s="86"/>
      <c r="B9" s="3" t="s">
        <v>47</v>
      </c>
      <c r="C9" s="34">
        <v>0.2</v>
      </c>
      <c r="D9" s="3" t="s">
        <v>40</v>
      </c>
    </row>
    <row r="10" spans="1:20" ht="12.75" thickTop="1">
      <c r="A10" s="86"/>
    </row>
    <row r="11" spans="1:20">
      <c r="A11" s="86"/>
      <c r="O11" s="128" t="s">
        <v>173</v>
      </c>
      <c r="P11" s="112">
        <v>45</v>
      </c>
      <c r="Q11" s="105">
        <f>SUM(I17:I26)*6.5</f>
        <v>8.5870078915892459E-7</v>
      </c>
      <c r="R11" s="106">
        <f>SUM(L26:L30)/5</f>
        <v>0.3</v>
      </c>
      <c r="S11" s="118">
        <f>4.29/R11/SUM(J17:J26)*SQRT((SUM(J17:J26)+SUM(K17:K26)*6.5)/$I$6)</f>
        <v>1.5638594989025117E-2</v>
      </c>
      <c r="T11" s="107">
        <f>4.29/R11/SUM(J17:J26)*Q11/$I$7*SQRT((SUM(J17:J26)*$I$7/Q11+SUM(K17:K26)*6.5)/$I$6)</f>
        <v>0.65590479333454943</v>
      </c>
    </row>
    <row r="12" spans="1:20">
      <c r="A12" s="86"/>
      <c r="K12" s="3"/>
      <c r="L12" s="109"/>
      <c r="O12" s="110" t="s">
        <v>157</v>
      </c>
      <c r="P12" s="110">
        <v>63</v>
      </c>
      <c r="Q12" s="105">
        <f>SUM(I27:I31)*6.5</f>
        <v>4.229447757242477E-7</v>
      </c>
      <c r="R12" s="106">
        <f>SUM(L17:L26)/10</f>
        <v>0.29999999999999993</v>
      </c>
      <c r="S12" s="118">
        <f>4.29/R12/SUM(J27:J31)*SQRT((SUM(J27:J31)+SUM(K27:K31)*6.5)/$I$6)</f>
        <v>5.7577891041451865E-3</v>
      </c>
      <c r="T12" s="107">
        <f>4.29/R12/SUM(J27:J31)*Q12/$I$7*SQRT((SUM(J27:J31)*$I$7/Q12+SUM(K27:K31)*6.5)/$I$6)</f>
        <v>0.12136519666238299</v>
      </c>
    </row>
    <row r="13" spans="1:20">
      <c r="A13" s="86"/>
      <c r="B13" s="97"/>
      <c r="C13" s="88"/>
      <c r="D13" s="96"/>
      <c r="E13" s="86"/>
      <c r="F13" s="3"/>
      <c r="G13" s="3"/>
      <c r="J13" s="77"/>
      <c r="K13" s="3"/>
      <c r="L13" s="109"/>
      <c r="O13" s="115" t="s">
        <v>163</v>
      </c>
      <c r="P13" s="110">
        <v>89</v>
      </c>
      <c r="Q13" s="105">
        <f>SUM(I31:I35)*6.5</f>
        <v>4.1558188369140835E-7</v>
      </c>
      <c r="R13" s="106">
        <f>SUM(L31:L35)/5</f>
        <v>0.3</v>
      </c>
      <c r="S13" s="118">
        <f>4.29/R13/SUM(J31:J35)*SQRT((SUM(J31:J35)+SUM(K31:K35)*6.5)/$I$6)</f>
        <v>5.8248265016301471E-3</v>
      </c>
      <c r="T13" s="107">
        <f>4.29/R13/SUM(J31:J35)*Q13/$I$7*SQRT((SUM(J31:J35)*$I$7/Q13+SUM(K31:K35)*6.5)/$I$6)</f>
        <v>0.12132771538522304</v>
      </c>
    </row>
    <row r="14" spans="1:20" ht="12.75">
      <c r="A14" s="3"/>
      <c r="B14" s="132" t="s">
        <v>36</v>
      </c>
      <c r="C14" s="93" t="s">
        <v>82</v>
      </c>
      <c r="D14" s="94" t="s">
        <v>84</v>
      </c>
      <c r="E14" s="95" t="s">
        <v>84</v>
      </c>
      <c r="F14" s="80" t="s">
        <v>90</v>
      </c>
      <c r="G14" s="80" t="s">
        <v>90</v>
      </c>
      <c r="H14" s="131" t="s">
        <v>146</v>
      </c>
      <c r="I14" s="131" t="s">
        <v>146</v>
      </c>
      <c r="J14" s="131" t="s">
        <v>148</v>
      </c>
      <c r="K14" s="153" t="s">
        <v>49</v>
      </c>
      <c r="L14" s="142" t="s">
        <v>149</v>
      </c>
      <c r="M14" s="152"/>
      <c r="O14" s="110" t="s">
        <v>164</v>
      </c>
      <c r="P14" s="110">
        <v>128</v>
      </c>
      <c r="Q14" s="105">
        <f>SUM(I35:I43)*6.5</f>
        <v>7.347075072959972E-7</v>
      </c>
      <c r="R14" s="106">
        <f>SUM(L35:L43)/9</f>
        <v>0.3</v>
      </c>
      <c r="S14" s="118">
        <f>4.29/R14/SUM(J35:J43)*SQRT((SUM(J35:J43)+SUM(K35:K43)*6.5)/$I$6)</f>
        <v>7.2135511179615133E-3</v>
      </c>
      <c r="T14" s="107">
        <f>4.29/R14/SUM(J35:J43)*Q14/$I$7*SQRT((SUM(J35:J43)*$I$7/Q14+SUM(K35:K43)*6.5)/$I$6)</f>
        <v>0.21240553469904885</v>
      </c>
    </row>
    <row r="15" spans="1:20" ht="12.75">
      <c r="A15" s="3"/>
      <c r="B15" s="130"/>
      <c r="C15" s="79" t="s">
        <v>83</v>
      </c>
      <c r="D15" s="11" t="s">
        <v>88</v>
      </c>
      <c r="E15" s="81" t="s">
        <v>89</v>
      </c>
      <c r="F15" s="81" t="s">
        <v>91</v>
      </c>
      <c r="G15" s="81" t="s">
        <v>152</v>
      </c>
      <c r="H15" s="132"/>
      <c r="I15" s="132"/>
      <c r="J15" s="132"/>
      <c r="K15" s="153"/>
      <c r="L15" s="144"/>
      <c r="M15" s="145"/>
      <c r="O15" s="116" t="s">
        <v>165</v>
      </c>
      <c r="P15" s="110">
        <v>180</v>
      </c>
      <c r="Q15" s="105">
        <f>SUM(I43:I51)*6.5</f>
        <v>7.221245724562629E-7</v>
      </c>
      <c r="R15" s="106">
        <f>SUM(L43:L51)/9</f>
        <v>0.3</v>
      </c>
      <c r="S15" s="118">
        <f>4.29/R15/SUM(J43:J51)*SQRT((SUM(J43:J51)+SUM(K43:K51)*6.5)/$I$6)</f>
        <v>1.4221897478119441E-2</v>
      </c>
      <c r="T15" s="107">
        <f>4.29/R15/SUM(J43:J51)*Q15/$I$7*SQRT((SUM(J43:J51)*$I$7/Q15+SUM(K43:K51)*6.5)/$I$6)</f>
        <v>0.48572392898439853</v>
      </c>
    </row>
    <row r="16" spans="1:20">
      <c r="A16" s="3"/>
      <c r="B16" s="72" t="s">
        <v>34</v>
      </c>
      <c r="C16" s="72" t="s">
        <v>33</v>
      </c>
      <c r="D16" s="72" t="s">
        <v>42</v>
      </c>
      <c r="E16" s="72" t="s">
        <v>42</v>
      </c>
      <c r="F16" s="72"/>
      <c r="G16" s="72"/>
      <c r="H16" s="25" t="s">
        <v>147</v>
      </c>
      <c r="I16" s="72" t="s">
        <v>154</v>
      </c>
      <c r="J16" s="72" t="s">
        <v>172</v>
      </c>
      <c r="K16" s="112" t="str">
        <f>'Calculs lentille'!N15</f>
        <v>Cts/s/keV</v>
      </c>
      <c r="L16" s="72" t="s">
        <v>150</v>
      </c>
      <c r="M16" s="72" t="s">
        <v>151</v>
      </c>
      <c r="O16" s="117" t="s">
        <v>166</v>
      </c>
      <c r="P16" s="110">
        <f t="shared" ref="P16:P18" si="0">P15+52</f>
        <v>232</v>
      </c>
      <c r="Q16" s="105">
        <f>SUM(I51:I59)*6.5</f>
        <v>7.129538097100702E-7</v>
      </c>
      <c r="R16" s="106">
        <f>SUM(L51:L59)/9</f>
        <v>0.3</v>
      </c>
      <c r="S16" s="118">
        <f>4.29/R16/SUM(J51:J59)*SQRT((SUM(J51:J59)+SUM(K51:K59)*6.5)/$I$6)</f>
        <v>2.4194391575211589E-2</v>
      </c>
      <c r="T16" s="107">
        <f>4.29/R16/SUM(J51:J59)*Q16/$I$7*SQRT((SUM(J51:J59)*$I$7/Q16+SUM(K51:K59)*6.5)/$I$6)</f>
        <v>1.0421383387953296</v>
      </c>
    </row>
    <row r="17" spans="1:20">
      <c r="A17" s="3"/>
      <c r="B17" s="15">
        <v>42.560606100000001</v>
      </c>
      <c r="C17" s="60">
        <v>330</v>
      </c>
      <c r="D17" s="124">
        <v>0.61</v>
      </c>
      <c r="E17" s="124">
        <v>15.98</v>
      </c>
      <c r="F17" s="16">
        <f t="shared" ref="F17:F26" si="1">1-EXP(-D17*$C$6*$C$8)*EXP(-E17*$C$7*$C$9)</f>
        <v>0.99999999758761515</v>
      </c>
      <c r="G17" s="16">
        <v>0.01</v>
      </c>
      <c r="H17" s="89">
        <f t="shared" ref="H17:H26" si="2">10*POWER(B17,-2.05)</f>
        <v>4.5765056374573896E-3</v>
      </c>
      <c r="I17" s="18">
        <f t="shared" ref="I17:I26" si="3">0.0000000016*B17*B17*H17</f>
        <v>1.3263849713718468E-8</v>
      </c>
      <c r="J17" s="16">
        <f t="shared" ref="J17:J26" si="4">H17*6.5*C17*F17*G17</f>
        <v>9.8166045686646733E-2</v>
      </c>
      <c r="K17" s="126">
        <f>'Calculs mirroir'!N68</f>
        <v>1.6324870670637507E-5</v>
      </c>
      <c r="L17" s="90">
        <v>0.3</v>
      </c>
      <c r="M17" s="98">
        <f t="shared" ref="M17:M26" si="5">4.29/0.3/SQRT(J17)</f>
        <v>45.641024969419469</v>
      </c>
      <c r="O17" s="117" t="s">
        <v>167</v>
      </c>
      <c r="P17" s="110">
        <v>284</v>
      </c>
      <c r="Q17" s="105">
        <f>SUM(I59:I67)*6.5</f>
        <v>7.0574834861050791E-7</v>
      </c>
      <c r="R17" s="106">
        <f>SUM(L59:L67)/9</f>
        <v>0.3</v>
      </c>
      <c r="S17" s="118">
        <f>4.29/R17/SUM(J59:J67)*SQRT((SUM(J59:J67)+SUM(K59:K67)*6.5)/$I$6)</f>
        <v>3.6841999455693594E-2</v>
      </c>
      <c r="T17" s="107">
        <f>4.29/R17/SUM(J59:J67)*Q17/$I$7*SQRT((SUM(J59:J67)*$I$7/Q17+SUM(K59:K67)*6.5)/$I$6)</f>
        <v>2.0329610842833747</v>
      </c>
    </row>
    <row r="18" spans="1:20">
      <c r="A18" s="3"/>
      <c r="B18" s="15">
        <v>43.363636399999997</v>
      </c>
      <c r="C18" s="60">
        <v>330</v>
      </c>
      <c r="D18" s="125">
        <v>0.58599999999999997</v>
      </c>
      <c r="E18" s="125">
        <v>15.2</v>
      </c>
      <c r="F18" s="16">
        <f t="shared" si="1"/>
        <v>0.99999999364719883</v>
      </c>
      <c r="G18" s="16">
        <v>0.01</v>
      </c>
      <c r="H18" s="89">
        <f t="shared" si="2"/>
        <v>4.4044565172506531E-3</v>
      </c>
      <c r="I18" s="18">
        <f t="shared" si="3"/>
        <v>1.3251459022734075E-8</v>
      </c>
      <c r="J18" s="16">
        <f t="shared" si="4"/>
        <v>9.4475591694841876E-2</v>
      </c>
      <c r="K18" s="127">
        <f>'Calculs mirroir'!N69</f>
        <v>1.6192505790088564E-5</v>
      </c>
      <c r="L18" s="90">
        <v>0.3</v>
      </c>
      <c r="M18" s="98">
        <f t="shared" si="5"/>
        <v>46.523912171293745</v>
      </c>
      <c r="O18" s="117" t="s">
        <v>169</v>
      </c>
      <c r="P18" s="110">
        <f t="shared" si="0"/>
        <v>336</v>
      </c>
      <c r="Q18" s="105">
        <f>SUM(I67:I75)*6.5</f>
        <v>6.9982167965539029E-7</v>
      </c>
      <c r="R18" s="106">
        <f>SUM(L67:L75)/9</f>
        <v>0.3</v>
      </c>
      <c r="S18" s="118">
        <f>4.29/R18/SUM(J67:J75)*SQRT((SUM(J67:J75)+SUM(K67:K75)*6.5)/$I$6)</f>
        <v>5.230289549966919E-2</v>
      </c>
      <c r="T18" s="107">
        <f>4.29/R18/SUM(J67:J75)*Q18/$I$7*SQRT((SUM(J67:J75)*$I$7/Q18+SUM(K67:K75)*6.5)/$I$6)</f>
        <v>3.6611853173153643</v>
      </c>
    </row>
    <row r="19" spans="1:20">
      <c r="A19" s="3"/>
      <c r="B19" s="15">
        <v>44.1666667</v>
      </c>
      <c r="C19" s="60">
        <v>330</v>
      </c>
      <c r="D19" s="125">
        <v>0.56299999999999994</v>
      </c>
      <c r="E19" s="125">
        <v>14.47</v>
      </c>
      <c r="F19" s="16">
        <f t="shared" si="1"/>
        <v>0.99999998427690207</v>
      </c>
      <c r="G19" s="16">
        <v>0.01</v>
      </c>
      <c r="H19" s="89">
        <f t="shared" si="2"/>
        <v>4.2418569746099444E-3</v>
      </c>
      <c r="I19" s="18">
        <f t="shared" si="3"/>
        <v>1.323930695518312E-8</v>
      </c>
      <c r="J19" s="16">
        <f t="shared" si="4"/>
        <v>9.0987830674772716E-2</v>
      </c>
      <c r="K19" s="127">
        <f>'Calculs mirroir'!N70</f>
        <v>1.6063258584183453E-5</v>
      </c>
      <c r="L19" s="90">
        <v>0.3</v>
      </c>
      <c r="M19" s="98">
        <f t="shared" si="5"/>
        <v>47.407208367102143</v>
      </c>
      <c r="O19" s="117" t="s">
        <v>170</v>
      </c>
      <c r="P19" s="114">
        <v>388</v>
      </c>
      <c r="Q19" s="105">
        <f>SUM(I75:I83)*6.5</f>
        <v>6.9479331080221281E-7</v>
      </c>
      <c r="R19" s="106">
        <f>SUM(L75:L83)/9</f>
        <v>0.3</v>
      </c>
      <c r="S19" s="118">
        <f>4.29/R19/SUM(J75:J83)*SQRT((SUM(J75:J83)+SUM(K75:K83)*6.5)/$I$6)</f>
        <v>7.1251165115895507E-2</v>
      </c>
      <c r="T19" s="107">
        <f>4.29/R19/SUM(J75:J83)*Q19/$I$7*SQRT((SUM(J75:J83)*$I$7/Q19+SUM(K75:K83)*6.5)/$I$6)</f>
        <v>6.2590225528360959</v>
      </c>
    </row>
    <row r="20" spans="1:20">
      <c r="A20" s="3"/>
      <c r="B20" s="15">
        <v>44.969696999999996</v>
      </c>
      <c r="C20" s="60">
        <v>330</v>
      </c>
      <c r="D20" s="125">
        <v>0.54200000000000004</v>
      </c>
      <c r="E20" s="125">
        <v>13.78</v>
      </c>
      <c r="F20" s="16">
        <f t="shared" si="1"/>
        <v>0.99999996297194615</v>
      </c>
      <c r="G20" s="16">
        <v>0.01</v>
      </c>
      <c r="H20" s="89">
        <f t="shared" si="2"/>
        <v>4.0880300471501678E-3</v>
      </c>
      <c r="I20" s="18">
        <f t="shared" si="3"/>
        <v>1.3227384700312231E-8</v>
      </c>
      <c r="J20" s="16">
        <f t="shared" si="4"/>
        <v>8.7688241264446062E-2</v>
      </c>
      <c r="K20" s="127">
        <f>'Calculs mirroir'!N71</f>
        <v>1.5936932938525622E-5</v>
      </c>
      <c r="L20" s="90">
        <v>0.3</v>
      </c>
      <c r="M20" s="98">
        <f t="shared" si="5"/>
        <v>48.290906470647634</v>
      </c>
    </row>
    <row r="21" spans="1:20">
      <c r="A21" s="3"/>
      <c r="B21" s="15">
        <v>45.7727273</v>
      </c>
      <c r="C21" s="60">
        <v>330</v>
      </c>
      <c r="D21" s="125">
        <v>0.52200000000000002</v>
      </c>
      <c r="E21" s="125">
        <v>13.14</v>
      </c>
      <c r="F21" s="16">
        <f t="shared" si="1"/>
        <v>0.99999991804454758</v>
      </c>
      <c r="G21" s="16">
        <v>0.01</v>
      </c>
      <c r="H21" s="89">
        <f t="shared" si="2"/>
        <v>3.942358191657969E-3</v>
      </c>
      <c r="I21" s="18">
        <f t="shared" si="3"/>
        <v>1.3215683922831461E-8</v>
      </c>
      <c r="J21" s="16">
        <f t="shared" si="4"/>
        <v>8.4563576280616712E-2</v>
      </c>
      <c r="K21" s="127">
        <f>'Calculs mirroir'!N72</f>
        <v>1.581357870478854E-5</v>
      </c>
      <c r="L21" s="90">
        <v>0.3</v>
      </c>
      <c r="M21" s="98">
        <f t="shared" si="5"/>
        <v>49.174999790485394</v>
      </c>
    </row>
    <row r="22" spans="1:20">
      <c r="A22" s="3"/>
      <c r="B22" s="15">
        <v>46.575757600000003</v>
      </c>
      <c r="C22" s="60">
        <v>330</v>
      </c>
      <c r="D22" s="125">
        <v>0.504</v>
      </c>
      <c r="E22" s="125">
        <v>12.54</v>
      </c>
      <c r="F22" s="16">
        <f t="shared" si="1"/>
        <v>0.99999982739843651</v>
      </c>
      <c r="G22" s="16">
        <v>0.01</v>
      </c>
      <c r="H22" s="89">
        <f t="shared" si="2"/>
        <v>3.8042771428242464E-3</v>
      </c>
      <c r="I22" s="18">
        <f t="shared" si="3"/>
        <v>1.3204196729435522E-8</v>
      </c>
      <c r="J22" s="16">
        <f t="shared" si="4"/>
        <v>8.160173062899137E-2</v>
      </c>
      <c r="K22" s="127">
        <f>'Calculs mirroir'!N73</f>
        <v>1.5693037822280146E-5</v>
      </c>
      <c r="L22" s="90">
        <v>0.3</v>
      </c>
      <c r="M22" s="98">
        <f t="shared" si="5"/>
        <v>50.05948215883118</v>
      </c>
    </row>
    <row r="23" spans="1:20">
      <c r="A23" s="3"/>
      <c r="B23" s="15">
        <v>47.378787899999999</v>
      </c>
      <c r="C23" s="60">
        <v>330</v>
      </c>
      <c r="D23" s="125">
        <v>0.48699999999999999</v>
      </c>
      <c r="E23" s="125">
        <v>11.97</v>
      </c>
      <c r="F23" s="16">
        <f t="shared" si="1"/>
        <v>0.99999964978374434</v>
      </c>
      <c r="G23" s="16">
        <v>0.01</v>
      </c>
      <c r="H23" s="89">
        <f t="shared" si="2"/>
        <v>3.6732704991799957E-3</v>
      </c>
      <c r="I23" s="18">
        <f t="shared" si="3"/>
        <v>1.3192915638214172E-8</v>
      </c>
      <c r="J23" s="16">
        <f t="shared" si="4"/>
        <v>7.879162461329349E-2</v>
      </c>
      <c r="K23" s="127">
        <f>'Calculs mirroir'!N74</f>
        <v>1.5575162984148031E-5</v>
      </c>
      <c r="L23" s="90">
        <v>0.3</v>
      </c>
      <c r="M23" s="98">
        <f t="shared" si="5"/>
        <v>50.944348164924904</v>
      </c>
    </row>
    <row r="24" spans="1:20">
      <c r="A24" s="3"/>
      <c r="B24" s="15">
        <v>48.181818200000002</v>
      </c>
      <c r="C24" s="60">
        <v>330</v>
      </c>
      <c r="D24" s="125">
        <v>0.47099999999999997</v>
      </c>
      <c r="E24" s="125">
        <v>11.44</v>
      </c>
      <c r="F24" s="16">
        <f t="shared" si="1"/>
        <v>0.99999932381220757</v>
      </c>
      <c r="G24" s="16">
        <v>0.01</v>
      </c>
      <c r="H24" s="89">
        <f t="shared" si="2"/>
        <v>3.5488649395377931E-3</v>
      </c>
      <c r="I24" s="18">
        <f t="shared" si="3"/>
        <v>1.318183355065819E-8</v>
      </c>
      <c r="J24" s="16">
        <f t="shared" si="4"/>
        <v>7.6123101479538907E-2</v>
      </c>
      <c r="K24" s="127">
        <f>'Calculs mirroir'!N75</f>
        <v>1.5459817432362652E-5</v>
      </c>
      <c r="L24" s="90">
        <v>0.3</v>
      </c>
      <c r="M24" s="98">
        <f t="shared" si="5"/>
        <v>51.829593211379688</v>
      </c>
    </row>
    <row r="25" spans="1:20">
      <c r="A25" s="3"/>
      <c r="B25" s="15">
        <v>48.984848499999998</v>
      </c>
      <c r="C25" s="60">
        <v>330</v>
      </c>
      <c r="D25" s="125">
        <v>0.45600000000000002</v>
      </c>
      <c r="E25" s="125">
        <v>10.94</v>
      </c>
      <c r="F25" s="16">
        <f t="shared" si="1"/>
        <v>0.99999874216680018</v>
      </c>
      <c r="G25" s="16">
        <v>0.01</v>
      </c>
      <c r="H25" s="89">
        <f t="shared" si="2"/>
        <v>3.4306259874613463E-3</v>
      </c>
      <c r="I25" s="18">
        <f t="shared" si="3"/>
        <v>1.3170943726001395E-8</v>
      </c>
      <c r="J25" s="16">
        <f t="shared" si="4"/>
        <v>7.3586834870965498E-2</v>
      </c>
      <c r="K25" s="127">
        <f>'Calculs mirroir'!N76</f>
        <v>1.5347113148061691E-5</v>
      </c>
      <c r="L25" s="90">
        <v>0.3</v>
      </c>
      <c r="M25" s="98">
        <f t="shared" si="5"/>
        <v>52.715214227786923</v>
      </c>
    </row>
    <row r="26" spans="1:20">
      <c r="A26" s="3"/>
      <c r="B26" s="15">
        <v>49.787878800000001</v>
      </c>
      <c r="C26" s="60">
        <v>330</v>
      </c>
      <c r="D26" s="125">
        <v>0.442</v>
      </c>
      <c r="E26" s="125">
        <v>10.47</v>
      </c>
      <c r="F26" s="16">
        <f t="shared" si="1"/>
        <v>0.9999977457427085</v>
      </c>
      <c r="G26" s="16">
        <v>0.01</v>
      </c>
      <c r="H26" s="89">
        <f t="shared" si="2"/>
        <v>3.3181542532205932E-3</v>
      </c>
      <c r="I26" s="18">
        <f t="shared" si="3"/>
        <v>1.3160239757668993E-8</v>
      </c>
      <c r="J26" s="16">
        <f t="shared" si="4"/>
        <v>7.1174248286151875E-2</v>
      </c>
      <c r="K26" s="127">
        <f>'Calculs mirroir'!N77</f>
        <v>1.5236697005625938E-5</v>
      </c>
      <c r="L26" s="90">
        <v>0.3</v>
      </c>
      <c r="M26" s="98">
        <f t="shared" si="5"/>
        <v>53.601209919465454</v>
      </c>
    </row>
    <row r="27" spans="1:20">
      <c r="A27" s="3"/>
      <c r="B27" s="15">
        <v>50</v>
      </c>
      <c r="C27" s="64">
        <v>3500</v>
      </c>
      <c r="D27" s="20">
        <v>0.4385</v>
      </c>
      <c r="E27" s="120">
        <v>10.67</v>
      </c>
      <c r="F27" s="16">
        <f t="shared" ref="F27:F58" si="6">1-EXP(-D27*$C$6*$C$8)*EXP(-E27*$C$7*$C$9)</f>
        <v>0.99999824059082276</v>
      </c>
      <c r="G27" s="16">
        <v>0.01</v>
      </c>
      <c r="H27" s="89">
        <f t="shared" ref="H27:H58" si="7">10*POWER(B27,-2.05)</f>
        <v>3.2893606377075585E-3</v>
      </c>
      <c r="I27" s="18">
        <f>0.0000000016*B27*B27*H27</f>
        <v>1.3157442550830234E-8</v>
      </c>
      <c r="J27" s="16">
        <f>H27*6.5*C27*F27*G27</f>
        <v>0.74832822846060032</v>
      </c>
      <c r="K27" s="51">
        <f>'Calculs lentille'!N16</f>
        <v>2.4835502820058565E-5</v>
      </c>
      <c r="L27" s="90">
        <v>0.3</v>
      </c>
      <c r="M27" s="98">
        <f>4.29/0.3/SQRT(J27)</f>
        <v>16.530651625602403</v>
      </c>
    </row>
    <row r="28" spans="1:20">
      <c r="A28" s="3"/>
      <c r="B28" s="15">
        <f>B27+6.5</f>
        <v>56.5</v>
      </c>
      <c r="C28" s="64">
        <v>6800</v>
      </c>
      <c r="D28" s="20">
        <v>0.35289999999999999</v>
      </c>
      <c r="E28" s="120">
        <v>7.6879999999999997</v>
      </c>
      <c r="F28" s="16">
        <f t="shared" si="6"/>
        <v>0.99992872753569373</v>
      </c>
      <c r="G28" s="16">
        <v>0.01</v>
      </c>
      <c r="H28" s="89">
        <f t="shared" si="7"/>
        <v>2.5603579265165181E-3</v>
      </c>
      <c r="I28" s="18">
        <f t="shared" ref="I28:I91" si="8">0.0000000016*B28*B28*H28</f>
        <v>1.3077284145475768E-8</v>
      </c>
      <c r="J28" s="16">
        <f t="shared" ref="J28:J91" si="9">H28*6.5*C28*F28*G28</f>
        <v>1.1315975460259347</v>
      </c>
      <c r="K28" s="51">
        <f>'Calculs lentille'!N17</f>
        <v>2.3508094723022611E-5</v>
      </c>
      <c r="L28" s="90">
        <v>0.3</v>
      </c>
      <c r="M28" s="98">
        <f t="shared" ref="M28:M58" si="10">4.29/0.3/SQRT(J28)</f>
        <v>13.442809337484873</v>
      </c>
    </row>
    <row r="29" spans="1:20">
      <c r="A29" s="3"/>
      <c r="B29" s="15">
        <f t="shared" ref="B29:B92" si="11">B28+6.5</f>
        <v>63</v>
      </c>
      <c r="C29" s="64">
        <v>10100</v>
      </c>
      <c r="D29" s="20">
        <v>0.29820000000000002</v>
      </c>
      <c r="E29" s="120">
        <v>5.7380000000000004</v>
      </c>
      <c r="F29" s="16">
        <f t="shared" si="6"/>
        <v>0.99919810990649005</v>
      </c>
      <c r="G29" s="16">
        <v>0.01</v>
      </c>
      <c r="H29" s="89">
        <f t="shared" si="7"/>
        <v>2.0481033768349702E-3</v>
      </c>
      <c r="I29" s="18">
        <f t="shared" si="8"/>
        <v>1.3006275684252795E-8</v>
      </c>
      <c r="J29" s="16">
        <f t="shared" si="9"/>
        <v>1.3435016616169642</v>
      </c>
      <c r="K29" s="51">
        <f>'Calculs lentille'!N18</f>
        <v>2.241019703358221E-5</v>
      </c>
      <c r="L29" s="90">
        <v>0.3</v>
      </c>
      <c r="M29" s="98">
        <f t="shared" si="10"/>
        <v>12.337209326727779</v>
      </c>
    </row>
    <row r="30" spans="1:20">
      <c r="A30" s="3"/>
      <c r="B30" s="15">
        <f t="shared" si="11"/>
        <v>69.5</v>
      </c>
      <c r="C30" s="64">
        <v>13400</v>
      </c>
      <c r="D30" s="20">
        <v>0.26129999999999998</v>
      </c>
      <c r="E30" s="120">
        <v>4.4050000000000002</v>
      </c>
      <c r="F30" s="16">
        <f t="shared" si="6"/>
        <v>0.9958054050535744</v>
      </c>
      <c r="G30" s="16">
        <v>0.01</v>
      </c>
      <c r="H30" s="89">
        <f t="shared" si="7"/>
        <v>1.6746773656577865E-3</v>
      </c>
      <c r="I30" s="18">
        <f t="shared" si="8"/>
        <v>1.2942576552749638E-8</v>
      </c>
      <c r="J30" s="16">
        <f t="shared" si="9"/>
        <v>1.4525255647977704</v>
      </c>
      <c r="K30" s="51">
        <f>'Calculs lentille'!N19</f>
        <v>2.1598575451731746E-5</v>
      </c>
      <c r="L30" s="90">
        <v>0.3</v>
      </c>
      <c r="M30" s="98">
        <f t="shared" si="10"/>
        <v>11.865174918785566</v>
      </c>
    </row>
    <row r="31" spans="1:20">
      <c r="A31" s="3"/>
      <c r="B31" s="15">
        <f t="shared" si="11"/>
        <v>76</v>
      </c>
      <c r="C31" s="64">
        <v>16700</v>
      </c>
      <c r="D31" s="20">
        <v>0.23519999999999999</v>
      </c>
      <c r="E31" s="120">
        <v>3.464</v>
      </c>
      <c r="F31" s="16">
        <f t="shared" si="6"/>
        <v>0.98651185328047908</v>
      </c>
      <c r="G31" s="16">
        <v>0.01</v>
      </c>
      <c r="H31" s="89">
        <f t="shared" si="7"/>
        <v>1.3942226563788971E-3</v>
      </c>
      <c r="I31" s="18">
        <f t="shared" si="8"/>
        <v>1.2884848101191215E-8</v>
      </c>
      <c r="J31" s="16">
        <f t="shared" si="9"/>
        <v>1.4930153452318413</v>
      </c>
      <c r="K31" s="51">
        <f>'Calculs lentille'!N20</f>
        <v>2.1234093557900343E-5</v>
      </c>
      <c r="L31" s="90">
        <v>0.3</v>
      </c>
      <c r="M31" s="98">
        <f t="shared" si="10"/>
        <v>11.703180458860817</v>
      </c>
    </row>
    <row r="32" spans="1:20">
      <c r="A32" s="3"/>
      <c r="B32" s="15">
        <f t="shared" si="11"/>
        <v>82.5</v>
      </c>
      <c r="C32" s="64">
        <v>20000</v>
      </c>
      <c r="D32" s="20">
        <v>0.21609999999999999</v>
      </c>
      <c r="E32" s="120">
        <v>2.78</v>
      </c>
      <c r="F32" s="16">
        <f t="shared" si="6"/>
        <v>0.96847342695369543</v>
      </c>
      <c r="G32" s="16">
        <v>0.01</v>
      </c>
      <c r="H32" s="89">
        <f t="shared" si="7"/>
        <v>1.1783367033095715E-3</v>
      </c>
      <c r="I32" s="18">
        <f t="shared" si="8"/>
        <v>1.2832086699041235E-8</v>
      </c>
      <c r="J32" s="16">
        <f t="shared" si="9"/>
        <v>1.4835441207074027</v>
      </c>
      <c r="K32" s="51">
        <f>'Calculs lentille'!N21</f>
        <v>2.1437929461069625E-5</v>
      </c>
      <c r="L32" s="90">
        <v>0.3</v>
      </c>
      <c r="M32" s="98">
        <f t="shared" si="10"/>
        <v>11.740478675796538</v>
      </c>
    </row>
    <row r="33" spans="1:13">
      <c r="A33" s="3"/>
      <c r="B33" s="15">
        <f t="shared" si="11"/>
        <v>89</v>
      </c>
      <c r="C33" s="64">
        <f>C32-215</f>
        <v>19785</v>
      </c>
      <c r="D33" s="20">
        <v>0.20150000000000001</v>
      </c>
      <c r="E33" s="120">
        <v>2.2719999999999998</v>
      </c>
      <c r="F33" s="16">
        <f t="shared" si="6"/>
        <v>0.94077120776478407</v>
      </c>
      <c r="G33" s="16">
        <v>0.01</v>
      </c>
      <c r="H33" s="89">
        <f t="shared" si="7"/>
        <v>1.008673210238638E-3</v>
      </c>
      <c r="I33" s="18">
        <f t="shared" si="8"/>
        <v>1.2783520797280402E-8</v>
      </c>
      <c r="J33" s="16">
        <f t="shared" si="9"/>
        <v>1.2203486217755903</v>
      </c>
      <c r="K33" s="51">
        <f>'Calculs lentille'!N22</f>
        <v>1.9159491636320936E-5</v>
      </c>
      <c r="L33" s="90">
        <v>0.3</v>
      </c>
      <c r="M33" s="98">
        <f t="shared" si="10"/>
        <v>12.944762297329548</v>
      </c>
    </row>
    <row r="34" spans="1:13">
      <c r="A34" s="3"/>
      <c r="B34" s="15">
        <f t="shared" si="11"/>
        <v>95.5</v>
      </c>
      <c r="C34" s="64">
        <f t="shared" ref="C34:C97" si="12">C33-215</f>
        <v>19570</v>
      </c>
      <c r="D34" s="20">
        <v>0.19009999999999999</v>
      </c>
      <c r="E34" s="120">
        <v>1.8859999999999999</v>
      </c>
      <c r="F34" s="16">
        <f t="shared" si="6"/>
        <v>0.90436290393138075</v>
      </c>
      <c r="G34" s="16">
        <v>0.01</v>
      </c>
      <c r="H34" s="89">
        <f t="shared" si="7"/>
        <v>8.7295747525984227E-4</v>
      </c>
      <c r="I34" s="18">
        <f t="shared" si="8"/>
        <v>1.2738544661981723E-8</v>
      </c>
      <c r="J34" s="16">
        <f t="shared" si="9"/>
        <v>1.0042457680474746</v>
      </c>
      <c r="K34" s="51">
        <f>'Calculs lentille'!N23</f>
        <v>1.8561452855240277E-5</v>
      </c>
      <c r="L34" s="90">
        <v>0.3</v>
      </c>
      <c r="M34" s="98">
        <f t="shared" si="10"/>
        <v>14.269739085058317</v>
      </c>
    </row>
    <row r="35" spans="1:13">
      <c r="A35" s="3"/>
      <c r="B35" s="15">
        <f t="shared" si="11"/>
        <v>102</v>
      </c>
      <c r="C35" s="64">
        <f t="shared" si="12"/>
        <v>19355</v>
      </c>
      <c r="D35" s="20">
        <v>0.18090000000000001</v>
      </c>
      <c r="E35" s="120">
        <v>1.587</v>
      </c>
      <c r="F35" s="16">
        <f t="shared" si="6"/>
        <v>0.86138022144634074</v>
      </c>
      <c r="G35" s="16">
        <v>0.01</v>
      </c>
      <c r="H35" s="89">
        <f t="shared" si="7"/>
        <v>7.6272792643263703E-4</v>
      </c>
      <c r="I35" s="18">
        <f t="shared" si="8"/>
        <v>1.269667415456825E-8</v>
      </c>
      <c r="J35" s="16">
        <f t="shared" si="9"/>
        <v>0.8265537026249703</v>
      </c>
      <c r="K35" s="51">
        <f>'Calculs lentille'!N24</f>
        <v>1.8020557299104566E-5</v>
      </c>
      <c r="L35" s="90">
        <v>0.3</v>
      </c>
      <c r="M35" s="98">
        <f t="shared" si="10"/>
        <v>15.728977805561758</v>
      </c>
    </row>
    <row r="36" spans="1:13">
      <c r="A36" s="3"/>
      <c r="B36" s="15">
        <f t="shared" si="11"/>
        <v>108.5</v>
      </c>
      <c r="C36" s="64">
        <f t="shared" si="12"/>
        <v>19140</v>
      </c>
      <c r="D36" s="20">
        <v>0.1734</v>
      </c>
      <c r="E36" s="120">
        <v>1.3520000000000001</v>
      </c>
      <c r="F36" s="16">
        <f t="shared" si="6"/>
        <v>0.8144225567074509</v>
      </c>
      <c r="G36" s="16">
        <v>0.01</v>
      </c>
      <c r="H36" s="89">
        <f t="shared" si="7"/>
        <v>6.719996343145777E-4</v>
      </c>
      <c r="I36" s="18">
        <f t="shared" si="8"/>
        <v>1.2657516312095662E-8</v>
      </c>
      <c r="J36" s="16">
        <f t="shared" si="9"/>
        <v>0.6808855545605067</v>
      </c>
      <c r="K36" s="51">
        <f>'Calculs lentille'!N25</f>
        <v>1.7530453483709531E-5</v>
      </c>
      <c r="L36" s="90">
        <v>0.3</v>
      </c>
      <c r="M36" s="98">
        <f t="shared" si="10"/>
        <v>17.330016541574068</v>
      </c>
    </row>
    <row r="37" spans="1:13">
      <c r="A37" s="3"/>
      <c r="B37" s="15">
        <f t="shared" si="11"/>
        <v>115</v>
      </c>
      <c r="C37" s="64">
        <f t="shared" si="12"/>
        <v>18925</v>
      </c>
      <c r="D37" s="20">
        <v>0.1671</v>
      </c>
      <c r="E37" s="120">
        <v>1.165</v>
      </c>
      <c r="F37" s="16">
        <f t="shared" si="6"/>
        <v>0.765926357126123</v>
      </c>
      <c r="G37" s="16">
        <v>0.01</v>
      </c>
      <c r="H37" s="89">
        <f t="shared" si="7"/>
        <v>5.9644366101420322E-4</v>
      </c>
      <c r="I37" s="18">
        <f t="shared" si="8"/>
        <v>1.262074786706054E-8</v>
      </c>
      <c r="J37" s="16">
        <f t="shared" si="9"/>
        <v>0.56196036621930356</v>
      </c>
      <c r="K37" s="51">
        <f>'Calculs lentille'!N26</f>
        <v>1.7088328036079989E-5</v>
      </c>
      <c r="L37" s="90">
        <v>0.3</v>
      </c>
      <c r="M37" s="98">
        <f t="shared" si="10"/>
        <v>19.075819045698239</v>
      </c>
    </row>
    <row r="38" spans="1:13">
      <c r="A38" s="3"/>
      <c r="B38" s="15">
        <f t="shared" si="11"/>
        <v>121.5</v>
      </c>
      <c r="C38" s="64">
        <f t="shared" si="12"/>
        <v>18710</v>
      </c>
      <c r="D38" s="20">
        <v>0.16170000000000001</v>
      </c>
      <c r="E38" s="120">
        <v>1.014</v>
      </c>
      <c r="F38" s="16">
        <f t="shared" si="6"/>
        <v>0.7176580912266135</v>
      </c>
      <c r="G38" s="16">
        <v>0.01</v>
      </c>
      <c r="H38" s="89">
        <f t="shared" si="7"/>
        <v>5.328667603096128E-4</v>
      </c>
      <c r="I38" s="18">
        <f t="shared" si="8"/>
        <v>1.2586099731808932E-8</v>
      </c>
      <c r="J38" s="16">
        <f t="shared" si="9"/>
        <v>0.46507539119291014</v>
      </c>
      <c r="K38" s="51">
        <f>'Calculs lentille'!N27</f>
        <v>1.6693881905882836E-5</v>
      </c>
      <c r="L38" s="90">
        <v>0.3</v>
      </c>
      <c r="M38" s="98">
        <f t="shared" si="10"/>
        <v>20.968837661372493</v>
      </c>
    </row>
    <row r="39" spans="1:13">
      <c r="A39" s="3"/>
      <c r="B39" s="15">
        <f t="shared" si="11"/>
        <v>128</v>
      </c>
      <c r="C39" s="64">
        <f t="shared" si="12"/>
        <v>18495</v>
      </c>
      <c r="D39" s="20">
        <v>0.157</v>
      </c>
      <c r="E39" s="120">
        <v>0.89</v>
      </c>
      <c r="F39" s="16">
        <f t="shared" si="6"/>
        <v>0.67066012278047027</v>
      </c>
      <c r="G39" s="16">
        <v>0.01</v>
      </c>
      <c r="H39" s="89">
        <f t="shared" si="7"/>
        <v>4.7887213006393529E-4</v>
      </c>
      <c r="I39" s="18">
        <f t="shared" si="8"/>
        <v>1.2553345566348026E-8</v>
      </c>
      <c r="J39" s="16">
        <f t="shared" si="9"/>
        <v>0.38609105381414899</v>
      </c>
      <c r="K39" s="51">
        <f>'Calculs lentille'!N28</f>
        <v>1.6347560252256393E-5</v>
      </c>
      <c r="L39" s="90">
        <v>0.3</v>
      </c>
      <c r="M39" s="98">
        <f t="shared" si="10"/>
        <v>23.013950155804658</v>
      </c>
    </row>
    <row r="40" spans="1:13">
      <c r="A40" s="3"/>
      <c r="B40" s="15">
        <f t="shared" si="11"/>
        <v>134.5</v>
      </c>
      <c r="C40" s="64">
        <f t="shared" si="12"/>
        <v>18280</v>
      </c>
      <c r="D40" s="20">
        <v>0.15290000000000001</v>
      </c>
      <c r="E40" s="120">
        <v>0.78800000000000003</v>
      </c>
      <c r="F40" s="16">
        <f t="shared" si="6"/>
        <v>0.62618733396091319</v>
      </c>
      <c r="G40" s="16">
        <v>0.01</v>
      </c>
      <c r="H40" s="89">
        <f t="shared" si="7"/>
        <v>4.3263267525390104E-4</v>
      </c>
      <c r="I40" s="18">
        <f t="shared" si="8"/>
        <v>1.2522293205619013E-8</v>
      </c>
      <c r="J40" s="16">
        <f t="shared" si="9"/>
        <v>0.32189419440422234</v>
      </c>
      <c r="K40" s="51">
        <f>'Calculs lentille'!N29</f>
        <v>1.604814350984694E-5</v>
      </c>
      <c r="L40" s="90">
        <v>0.3</v>
      </c>
      <c r="M40" s="98">
        <f t="shared" si="10"/>
        <v>25.20458003406042</v>
      </c>
    </row>
    <row r="41" spans="1:13">
      <c r="A41" s="3"/>
      <c r="B41" s="15">
        <f t="shared" si="11"/>
        <v>141</v>
      </c>
      <c r="C41" s="64">
        <f t="shared" si="12"/>
        <v>18065</v>
      </c>
      <c r="D41" s="20">
        <v>0.14929999999999999</v>
      </c>
      <c r="E41" s="120">
        <v>0.70309999999999995</v>
      </c>
      <c r="F41" s="16">
        <f t="shared" si="6"/>
        <v>0.58462040912245272</v>
      </c>
      <c r="G41" s="16">
        <v>0.01</v>
      </c>
      <c r="H41" s="89">
        <f t="shared" si="7"/>
        <v>3.9273609632557618E-4</v>
      </c>
      <c r="I41" s="18">
        <f t="shared" si="8"/>
        <v>1.2492778129678048E-8</v>
      </c>
      <c r="J41" s="16">
        <f t="shared" si="9"/>
        <v>0.26960386514902462</v>
      </c>
      <c r="K41" s="51">
        <f>'Calculs lentille'!N30</f>
        <v>1.5792260094541334E-5</v>
      </c>
      <c r="L41" s="90">
        <v>0.3</v>
      </c>
      <c r="M41" s="98">
        <f t="shared" si="10"/>
        <v>27.540573545354803</v>
      </c>
    </row>
    <row r="42" spans="1:13">
      <c r="A42" s="3"/>
      <c r="B42" s="15">
        <f t="shared" si="11"/>
        <v>147.5</v>
      </c>
      <c r="C42" s="64">
        <f t="shared" si="12"/>
        <v>17850</v>
      </c>
      <c r="D42" s="20">
        <v>0.14599999999999999</v>
      </c>
      <c r="E42" s="120">
        <v>0.63160000000000005</v>
      </c>
      <c r="F42" s="16">
        <f t="shared" si="6"/>
        <v>0.54604354516444287</v>
      </c>
      <c r="G42" s="16">
        <v>0.01</v>
      </c>
      <c r="H42" s="89">
        <f t="shared" si="7"/>
        <v>3.58076943974274E-4</v>
      </c>
      <c r="I42" s="18">
        <f t="shared" si="8"/>
        <v>1.2464658419744478E-8</v>
      </c>
      <c r="J42" s="16">
        <f t="shared" si="9"/>
        <v>0.22685858195904246</v>
      </c>
      <c r="K42" s="51">
        <f>'Calculs lentille'!N31</f>
        <v>1.5573608159989851E-5</v>
      </c>
      <c r="L42" s="90">
        <v>0.3</v>
      </c>
      <c r="M42" s="98">
        <f t="shared" si="10"/>
        <v>30.023300350902741</v>
      </c>
    </row>
    <row r="43" spans="1:13">
      <c r="A43" s="3"/>
      <c r="B43" s="15">
        <f t="shared" si="11"/>
        <v>154</v>
      </c>
      <c r="C43" s="64">
        <f t="shared" si="12"/>
        <v>17635</v>
      </c>
      <c r="D43" s="20">
        <v>0.14299999999999999</v>
      </c>
      <c r="E43" s="120">
        <v>0.57120000000000004</v>
      </c>
      <c r="F43" s="16">
        <f t="shared" si="6"/>
        <v>0.51067236321935705</v>
      </c>
      <c r="G43" s="16">
        <v>0.01</v>
      </c>
      <c r="H43" s="89">
        <f t="shared" si="7"/>
        <v>3.2778005387874322E-4</v>
      </c>
      <c r="I43" s="18">
        <f t="shared" si="8"/>
        <v>1.2437810812461237E-8</v>
      </c>
      <c r="J43" s="16">
        <f t="shared" si="9"/>
        <v>0.19187292584011903</v>
      </c>
      <c r="K43" s="51">
        <f>'Calculs lentille'!N32</f>
        <v>1.5384336541223512E-5</v>
      </c>
      <c r="L43" s="90">
        <v>0.3</v>
      </c>
      <c r="M43" s="98">
        <f t="shared" si="10"/>
        <v>32.645940775654253</v>
      </c>
    </row>
    <row r="44" spans="1:13">
      <c r="A44" s="3"/>
      <c r="B44" s="15">
        <f t="shared" si="11"/>
        <v>160.5</v>
      </c>
      <c r="C44" s="64">
        <f t="shared" si="12"/>
        <v>17420</v>
      </c>
      <c r="D44" s="20">
        <v>0.14030000000000001</v>
      </c>
      <c r="E44" s="120">
        <v>0.51949999999999996</v>
      </c>
      <c r="F44" s="16">
        <f t="shared" si="6"/>
        <v>0.47821178927016994</v>
      </c>
      <c r="G44" s="16">
        <v>0.01</v>
      </c>
      <c r="H44" s="89">
        <f t="shared" si="7"/>
        <v>3.0114535907332419E-4</v>
      </c>
      <c r="I44" s="18">
        <f t="shared" si="8"/>
        <v>1.2412127577709759E-8</v>
      </c>
      <c r="J44" s="16">
        <f t="shared" si="9"/>
        <v>0.16306395082221783</v>
      </c>
      <c r="K44" s="51">
        <f>'Calculs lentille'!N33</f>
        <v>1.5217765452109019E-5</v>
      </c>
      <c r="L44" s="90">
        <v>0.3</v>
      </c>
      <c r="M44" s="98">
        <f t="shared" si="10"/>
        <v>35.412538298727597</v>
      </c>
    </row>
    <row r="45" spans="1:13">
      <c r="A45" s="3"/>
      <c r="B45" s="15">
        <f t="shared" si="11"/>
        <v>167</v>
      </c>
      <c r="C45" s="64">
        <f t="shared" si="12"/>
        <v>17205</v>
      </c>
      <c r="D45" s="20">
        <v>0.13780000000000001</v>
      </c>
      <c r="E45" s="120">
        <v>0.47520000000000001</v>
      </c>
      <c r="F45" s="16">
        <f t="shared" si="6"/>
        <v>0.44868503013478267</v>
      </c>
      <c r="G45" s="16">
        <v>0.01</v>
      </c>
      <c r="H45" s="89">
        <f t="shared" si="7"/>
        <v>2.7760752496946804E-4</v>
      </c>
      <c r="I45" s="18">
        <f t="shared" si="8"/>
        <v>1.2387514022197591E-8</v>
      </c>
      <c r="J45" s="16">
        <f t="shared" si="9"/>
        <v>0.13929670637067287</v>
      </c>
      <c r="K45" s="51">
        <f>'Calculs lentille'!N34</f>
        <v>1.5063253865808895E-5</v>
      </c>
      <c r="L45" s="90">
        <v>0.3</v>
      </c>
      <c r="M45" s="98">
        <f t="shared" si="10"/>
        <v>38.31471624604935</v>
      </c>
    </row>
    <row r="46" spans="1:13">
      <c r="A46" s="3"/>
      <c r="B46" s="15">
        <f t="shared" si="11"/>
        <v>173.5</v>
      </c>
      <c r="C46" s="64">
        <f t="shared" si="12"/>
        <v>16990</v>
      </c>
      <c r="D46" s="20">
        <v>0.13550000000000001</v>
      </c>
      <c r="E46" s="120">
        <v>0.43690000000000001</v>
      </c>
      <c r="F46" s="16">
        <f t="shared" si="6"/>
        <v>0.42181043676278762</v>
      </c>
      <c r="G46" s="16">
        <v>0.01</v>
      </c>
      <c r="H46" s="89">
        <f t="shared" si="7"/>
        <v>2.5670602850036558E-4</v>
      </c>
      <c r="I46" s="18">
        <f t="shared" si="8"/>
        <v>1.2363886474280208E-8</v>
      </c>
      <c r="J46" s="16">
        <f t="shared" si="9"/>
        <v>0.11958043377822378</v>
      </c>
      <c r="K46" s="51">
        <f>'Calculs lentille'!N35</f>
        <v>1.4916355958402496E-5</v>
      </c>
      <c r="L46" s="90">
        <v>0.3</v>
      </c>
      <c r="M46" s="98">
        <f t="shared" si="10"/>
        <v>41.352900382722979</v>
      </c>
    </row>
    <row r="47" spans="1:13">
      <c r="A47" s="3"/>
      <c r="B47" s="15">
        <f t="shared" si="11"/>
        <v>180</v>
      </c>
      <c r="C47" s="64">
        <f t="shared" si="12"/>
        <v>16775</v>
      </c>
      <c r="D47" s="20">
        <v>0.13339999999999999</v>
      </c>
      <c r="E47" s="120">
        <v>0.40350000000000003</v>
      </c>
      <c r="F47" s="16">
        <f t="shared" si="6"/>
        <v>0.3973043885482076</v>
      </c>
      <c r="G47" s="16">
        <v>0.01</v>
      </c>
      <c r="H47" s="89">
        <f t="shared" si="7"/>
        <v>2.3806270530389494E-4</v>
      </c>
      <c r="I47" s="18">
        <f t="shared" si="8"/>
        <v>1.2341170642953914E-8</v>
      </c>
      <c r="J47" s="16">
        <f t="shared" si="9"/>
        <v>0.10313132850700436</v>
      </c>
      <c r="K47" s="51">
        <f>'Calculs lentille'!N36</f>
        <v>1.4771865116335341E-5</v>
      </c>
      <c r="L47" s="90">
        <v>0.3</v>
      </c>
      <c r="M47" s="98">
        <f t="shared" si="10"/>
        <v>44.528773320799601</v>
      </c>
    </row>
    <row r="48" spans="1:13">
      <c r="A48" s="3"/>
      <c r="B48" s="15">
        <f t="shared" si="11"/>
        <v>186.5</v>
      </c>
      <c r="C48" s="64">
        <f t="shared" si="12"/>
        <v>16560</v>
      </c>
      <c r="D48" s="20">
        <v>0.13139999999999999</v>
      </c>
      <c r="E48" s="120">
        <v>0.37440000000000001</v>
      </c>
      <c r="F48" s="16">
        <f t="shared" si="6"/>
        <v>0.37510334817579694</v>
      </c>
      <c r="G48" s="16">
        <v>0.01</v>
      </c>
      <c r="H48" s="89">
        <f t="shared" si="7"/>
        <v>2.2136470956328274E-4</v>
      </c>
      <c r="I48" s="18">
        <f t="shared" si="8"/>
        <v>1.2319300270731988E-8</v>
      </c>
      <c r="J48" s="16">
        <f t="shared" si="9"/>
        <v>8.9378490505751695E-2</v>
      </c>
      <c r="K48" s="51">
        <f>'Calculs lentille'!N37</f>
        <v>1.462558085171624E-5</v>
      </c>
      <c r="L48" s="90">
        <v>0.3</v>
      </c>
      <c r="M48" s="98">
        <f t="shared" si="10"/>
        <v>47.832108949349305</v>
      </c>
    </row>
    <row r="49" spans="1:13">
      <c r="A49" s="3"/>
      <c r="B49" s="15">
        <f t="shared" si="11"/>
        <v>193</v>
      </c>
      <c r="C49" s="64">
        <f t="shared" si="12"/>
        <v>16345</v>
      </c>
      <c r="D49" s="20">
        <v>0.1295</v>
      </c>
      <c r="E49" s="120">
        <v>0.3488</v>
      </c>
      <c r="F49" s="16">
        <f t="shared" si="6"/>
        <v>0.35489326805998833</v>
      </c>
      <c r="G49" s="16">
        <v>0.01</v>
      </c>
      <c r="H49" s="89">
        <f t="shared" si="7"/>
        <v>2.0635144600366409E-4</v>
      </c>
      <c r="I49" s="18">
        <f t="shared" si="8"/>
        <v>1.2298216019504775E-8</v>
      </c>
      <c r="J49" s="16">
        <f t="shared" si="9"/>
        <v>7.7804292775788014E-2</v>
      </c>
      <c r="K49" s="51">
        <f>'Calculs lentille'!N38</f>
        <v>1.447683898311319E-5</v>
      </c>
      <c r="L49" s="90">
        <v>0.3</v>
      </c>
      <c r="M49" s="98">
        <f t="shared" si="10"/>
        <v>51.266569515865577</v>
      </c>
    </row>
    <row r="50" spans="1:13">
      <c r="A50" s="3"/>
      <c r="B50" s="15">
        <f t="shared" si="11"/>
        <v>199.5</v>
      </c>
      <c r="C50" s="64">
        <f t="shared" si="12"/>
        <v>16130</v>
      </c>
      <c r="D50" s="20">
        <v>0.12770000000000001</v>
      </c>
      <c r="E50" s="120">
        <v>0.32619999999999999</v>
      </c>
      <c r="F50" s="16">
        <f t="shared" si="6"/>
        <v>0.33650535760161726</v>
      </c>
      <c r="G50" s="16">
        <v>0.01</v>
      </c>
      <c r="H50" s="89">
        <f t="shared" si="7"/>
        <v>1.9280445070547916E-4</v>
      </c>
      <c r="I50" s="18">
        <f t="shared" si="8"/>
        <v>1.2277864542705195E-8</v>
      </c>
      <c r="J50" s="16">
        <f t="shared" si="9"/>
        <v>6.8023153580942838E-2</v>
      </c>
      <c r="K50" s="51">
        <f>'Calculs lentille'!N39</f>
        <v>1.4321082128011779E-5</v>
      </c>
      <c r="L50" s="90">
        <v>0.3</v>
      </c>
      <c r="M50" s="98">
        <f t="shared" si="10"/>
        <v>54.828663086082393</v>
      </c>
    </row>
    <row r="51" spans="1:13">
      <c r="A51" s="3"/>
      <c r="B51" s="15">
        <f t="shared" si="11"/>
        <v>206</v>
      </c>
      <c r="C51" s="64">
        <f t="shared" si="12"/>
        <v>15915</v>
      </c>
      <c r="D51" s="20">
        <v>0.126</v>
      </c>
      <c r="E51" s="120">
        <v>0.30620000000000003</v>
      </c>
      <c r="F51" s="16">
        <f t="shared" si="6"/>
        <v>0.31979292152373906</v>
      </c>
      <c r="G51" s="16">
        <v>0.01</v>
      </c>
      <c r="H51" s="89">
        <f t="shared" si="7"/>
        <v>1.8053948457161408E-4</v>
      </c>
      <c r="I51" s="18">
        <f t="shared" si="8"/>
        <v>1.2258197707649622E-8</v>
      </c>
      <c r="J51" s="16">
        <f t="shared" si="9"/>
        <v>5.972567193845929E-2</v>
      </c>
      <c r="K51" s="51">
        <f>'Calculs lentille'!N40</f>
        <v>1.416363215229079E-5</v>
      </c>
      <c r="L51" s="90">
        <v>0.3</v>
      </c>
      <c r="M51" s="98">
        <f t="shared" si="10"/>
        <v>58.51342440455845</v>
      </c>
    </row>
    <row r="52" spans="1:13">
      <c r="A52" s="3"/>
      <c r="B52" s="15">
        <f t="shared" si="11"/>
        <v>212.5</v>
      </c>
      <c r="C52" s="64">
        <f t="shared" si="12"/>
        <v>15700</v>
      </c>
      <c r="D52" s="20">
        <v>0.1244</v>
      </c>
      <c r="E52" s="120">
        <v>0.2883</v>
      </c>
      <c r="F52" s="16">
        <f t="shared" si="6"/>
        <v>0.30447616646287934</v>
      </c>
      <c r="G52" s="16">
        <v>0.01</v>
      </c>
      <c r="H52" s="89">
        <f t="shared" si="7"/>
        <v>1.694003036655602E-4</v>
      </c>
      <c r="I52" s="18">
        <f t="shared" si="8"/>
        <v>1.2239171939836725E-8</v>
      </c>
      <c r="J52" s="16">
        <f t="shared" si="9"/>
        <v>5.2635711336421025E-2</v>
      </c>
      <c r="K52" s="51">
        <f>'Calculs lentille'!N41</f>
        <v>1.400108072374888E-5</v>
      </c>
      <c r="L52" s="90">
        <v>0.3</v>
      </c>
      <c r="M52" s="98">
        <f t="shared" si="10"/>
        <v>62.329808016005245</v>
      </c>
    </row>
    <row r="53" spans="1:13">
      <c r="A53" s="3"/>
      <c r="B53" s="15">
        <f t="shared" si="11"/>
        <v>219</v>
      </c>
      <c r="C53" s="64">
        <f t="shared" si="12"/>
        <v>15485</v>
      </c>
      <c r="D53" s="20">
        <v>0.1229</v>
      </c>
      <c r="E53" s="120">
        <v>0.27239999999999998</v>
      </c>
      <c r="F53" s="16">
        <f t="shared" si="6"/>
        <v>0.29057925922253469</v>
      </c>
      <c r="G53" s="16">
        <v>0.01</v>
      </c>
      <c r="H53" s="89">
        <f t="shared" si="7"/>
        <v>1.5925371222163514E-4</v>
      </c>
      <c r="I53" s="18">
        <f t="shared" si="8"/>
        <v>1.2220747666978951E-8</v>
      </c>
      <c r="J53" s="16">
        <f t="shared" si="9"/>
        <v>4.6577775488662321E-2</v>
      </c>
      <c r="K53" s="51">
        <f>'Calculs lentille'!N42</f>
        <v>1.3836032948898083E-5</v>
      </c>
      <c r="L53" s="90">
        <v>0.3</v>
      </c>
      <c r="M53" s="98">
        <f t="shared" si="10"/>
        <v>66.259272908023831</v>
      </c>
    </row>
    <row r="54" spans="1:13">
      <c r="A54" s="3"/>
      <c r="B54" s="15">
        <f t="shared" si="11"/>
        <v>225.5</v>
      </c>
      <c r="C54" s="64">
        <f t="shared" si="12"/>
        <v>15270</v>
      </c>
      <c r="D54" s="20">
        <v>0.12139999999999999</v>
      </c>
      <c r="E54" s="120">
        <v>0.2581</v>
      </c>
      <c r="F54" s="16">
        <f t="shared" si="6"/>
        <v>0.27783887487944925</v>
      </c>
      <c r="G54" s="16">
        <v>0.01</v>
      </c>
      <c r="H54" s="89">
        <f t="shared" si="7"/>
        <v>1.4998560534515041E-4</v>
      </c>
      <c r="I54" s="18">
        <f t="shared" si="8"/>
        <v>1.2202888845123575E-8</v>
      </c>
      <c r="J54" s="16">
        <f t="shared" si="9"/>
        <v>4.1361376690022482E-2</v>
      </c>
      <c r="K54" s="51">
        <f>'Calculs lentille'!N43</f>
        <v>1.3668827637353703E-5</v>
      </c>
      <c r="L54" s="90">
        <v>0.3</v>
      </c>
      <c r="M54" s="98">
        <f t="shared" si="10"/>
        <v>70.313472201065977</v>
      </c>
    </row>
    <row r="55" spans="1:13">
      <c r="A55" s="3"/>
      <c r="B55" s="15">
        <f t="shared" si="11"/>
        <v>232</v>
      </c>
      <c r="C55" s="64">
        <f t="shared" si="12"/>
        <v>15055</v>
      </c>
      <c r="D55" s="20">
        <v>0.12</v>
      </c>
      <c r="E55" s="120">
        <v>0.2452</v>
      </c>
      <c r="F55" s="16">
        <f t="shared" si="6"/>
        <v>0.26614806929320078</v>
      </c>
      <c r="G55" s="16">
        <v>0.01</v>
      </c>
      <c r="H55" s="89">
        <f t="shared" si="7"/>
        <v>1.41497781574602E-4</v>
      </c>
      <c r="I55" s="18">
        <f t="shared" si="8"/>
        <v>1.2185562552754203E-8</v>
      </c>
      <c r="J55" s="16">
        <f t="shared" si="9"/>
        <v>3.6852509557884459E-2</v>
      </c>
      <c r="K55" s="51">
        <f>'Calculs lentille'!N44</f>
        <v>1.3500618002819312E-5</v>
      </c>
      <c r="L55" s="90">
        <v>0.3</v>
      </c>
      <c r="M55" s="98">
        <f t="shared" si="10"/>
        <v>74.490776891662918</v>
      </c>
    </row>
    <row r="56" spans="1:13">
      <c r="A56" s="3"/>
      <c r="B56" s="15">
        <f t="shared" si="11"/>
        <v>238.5</v>
      </c>
      <c r="C56" s="64">
        <f t="shared" si="12"/>
        <v>14840</v>
      </c>
      <c r="D56" s="20">
        <v>0.1187</v>
      </c>
      <c r="E56" s="120">
        <v>0.23350000000000001</v>
      </c>
      <c r="F56" s="16">
        <f t="shared" si="6"/>
        <v>0.2553801803133201</v>
      </c>
      <c r="G56" s="16">
        <v>0.01</v>
      </c>
      <c r="H56" s="89">
        <f t="shared" si="7"/>
        <v>1.3370535889393646E-4</v>
      </c>
      <c r="I56" s="18">
        <f t="shared" si="8"/>
        <v>1.2168738641511388E-8</v>
      </c>
      <c r="J56" s="16">
        <f t="shared" si="9"/>
        <v>3.2936940930513726E-2</v>
      </c>
      <c r="K56" s="51">
        <f>'Calculs lentille'!N45</f>
        <v>1.3332190574132862E-5</v>
      </c>
      <c r="L56" s="90">
        <v>0.3</v>
      </c>
      <c r="M56" s="98">
        <f t="shared" si="10"/>
        <v>78.79422839802416</v>
      </c>
    </row>
    <row r="57" spans="1:13">
      <c r="A57" s="3"/>
      <c r="B57" s="15">
        <f t="shared" si="11"/>
        <v>245</v>
      </c>
      <c r="C57" s="64">
        <f t="shared" si="12"/>
        <v>14625</v>
      </c>
      <c r="D57" s="20">
        <v>0.1174</v>
      </c>
      <c r="E57" s="120">
        <v>0.22289999999999999</v>
      </c>
      <c r="F57" s="16">
        <f t="shared" si="6"/>
        <v>0.24548415474946017</v>
      </c>
      <c r="G57" s="16">
        <v>0.01</v>
      </c>
      <c r="H57" s="89">
        <f t="shared" si="7"/>
        <v>1.2653466716289592E-4</v>
      </c>
      <c r="I57" s="18">
        <f t="shared" si="8"/>
        <v>1.2152389434324527E-8</v>
      </c>
      <c r="J57" s="16">
        <f t="shared" si="9"/>
        <v>2.9528556934122756E-2</v>
      </c>
      <c r="K57" s="51">
        <f>'Calculs lentille'!N46</f>
        <v>1.3164713321952248E-5</v>
      </c>
      <c r="L57" s="90">
        <v>0.3</v>
      </c>
      <c r="M57" s="98">
        <f t="shared" si="10"/>
        <v>83.21755002402702</v>
      </c>
    </row>
    <row r="58" spans="1:13">
      <c r="A58" s="3"/>
      <c r="B58" s="15">
        <f t="shared" si="11"/>
        <v>251.5</v>
      </c>
      <c r="C58" s="64">
        <f t="shared" si="12"/>
        <v>14410</v>
      </c>
      <c r="D58" s="20">
        <v>0.11609999999999999</v>
      </c>
      <c r="E58" s="120">
        <v>0.21329999999999999</v>
      </c>
      <c r="F58" s="16">
        <f t="shared" si="6"/>
        <v>0.23640405689633925</v>
      </c>
      <c r="G58" s="16">
        <v>0.01</v>
      </c>
      <c r="H58" s="89">
        <f t="shared" si="7"/>
        <v>1.1992151922902273E-4</v>
      </c>
      <c r="I58" s="18">
        <f t="shared" si="8"/>
        <v>1.2136489463446324E-8</v>
      </c>
      <c r="J58" s="16">
        <f t="shared" si="9"/>
        <v>2.6553965357874569E-2</v>
      </c>
      <c r="K58" s="51">
        <f>'Calculs lentille'!N47</f>
        <v>1.2998918931018478E-5</v>
      </c>
      <c r="L58" s="90">
        <v>0.3</v>
      </c>
      <c r="M58" s="98">
        <f t="shared" si="10"/>
        <v>87.754893863607776</v>
      </c>
    </row>
    <row r="59" spans="1:13">
      <c r="A59" s="3"/>
      <c r="B59" s="15">
        <f t="shared" si="11"/>
        <v>258</v>
      </c>
      <c r="C59" s="64">
        <f t="shared" si="12"/>
        <v>14195</v>
      </c>
      <c r="D59" s="20">
        <v>0.115</v>
      </c>
      <c r="E59" s="120">
        <v>0.2046</v>
      </c>
      <c r="F59" s="16">
        <f t="shared" ref="F59:F90" si="13">1-EXP(-D59*$C$6*$C$8)*EXP(-E59*$C$7*$C$9)</f>
        <v>0.22808358072014989</v>
      </c>
      <c r="G59" s="16">
        <v>0.01</v>
      </c>
      <c r="H59" s="89">
        <f t="shared" ref="H59:H90" si="14">10*POWER(B59,-2.05)</f>
        <v>1.1380978496476744E-4</v>
      </c>
      <c r="I59" s="18">
        <f t="shared" si="8"/>
        <v>1.2121015242231648E-8</v>
      </c>
      <c r="J59" s="16">
        <f t="shared" si="9"/>
        <v>2.3950929846956726E-2</v>
      </c>
      <c r="K59" s="51">
        <f>'Calculs lentille'!N48</f>
        <v>1.2835741210763692E-5</v>
      </c>
      <c r="L59" s="90">
        <v>0.3</v>
      </c>
      <c r="M59" s="98">
        <f t="shared" ref="M59:M90" si="15">4.29/0.3/SQRT(J59)</f>
        <v>92.400612087704133</v>
      </c>
    </row>
    <row r="60" spans="1:13">
      <c r="A60" s="3"/>
      <c r="B60" s="15">
        <f t="shared" si="11"/>
        <v>264.5</v>
      </c>
      <c r="C60" s="64">
        <f t="shared" si="12"/>
        <v>13980</v>
      </c>
      <c r="D60" s="20">
        <v>0.1138</v>
      </c>
      <c r="E60" s="120">
        <v>0.1966</v>
      </c>
      <c r="F60" s="16">
        <f t="shared" si="13"/>
        <v>0.22034596299986198</v>
      </c>
      <c r="G60" s="16">
        <v>0.01</v>
      </c>
      <c r="H60" s="89">
        <f t="shared" si="14"/>
        <v>1.0815020909715565E-4</v>
      </c>
      <c r="I60" s="18">
        <f t="shared" si="8"/>
        <v>1.2105945065582854E-8</v>
      </c>
      <c r="J60" s="16">
        <f t="shared" si="9"/>
        <v>2.1654740794091971E-2</v>
      </c>
      <c r="K60" s="51">
        <f>'Calculs lentille'!N49</f>
        <v>1.2675328764097731E-5</v>
      </c>
      <c r="L60" s="90">
        <v>0.3</v>
      </c>
      <c r="M60" s="98">
        <f t="shared" si="15"/>
        <v>97.176117287511019</v>
      </c>
    </row>
    <row r="61" spans="1:13">
      <c r="A61" s="3"/>
      <c r="B61" s="15">
        <f t="shared" si="11"/>
        <v>271</v>
      </c>
      <c r="C61" s="64">
        <f t="shared" si="12"/>
        <v>13765</v>
      </c>
      <c r="D61" s="20">
        <v>0.11269999999999999</v>
      </c>
      <c r="E61" s="120">
        <v>0.18920000000000001</v>
      </c>
      <c r="F61" s="16">
        <f t="shared" si="13"/>
        <v>0.21311998429835299</v>
      </c>
      <c r="G61" s="16">
        <v>0.01</v>
      </c>
      <c r="H61" s="89">
        <f t="shared" si="14"/>
        <v>1.028994263665051E-4</v>
      </c>
      <c r="I61" s="18">
        <f t="shared" si="8"/>
        <v>1.2091258834852001E-8</v>
      </c>
      <c r="J61" s="16">
        <f t="shared" si="9"/>
        <v>1.9621251368591316E-2</v>
      </c>
      <c r="K61" s="51">
        <f>'Calculs lentille'!N50</f>
        <v>1.2517617684677428E-5</v>
      </c>
      <c r="L61" s="90">
        <v>0.3</v>
      </c>
      <c r="M61" s="98">
        <f t="shared" si="15"/>
        <v>102.08752775694829</v>
      </c>
    </row>
    <row r="62" spans="1:13">
      <c r="A62" s="3"/>
      <c r="B62" s="15">
        <f t="shared" si="11"/>
        <v>277.5</v>
      </c>
      <c r="C62" s="64">
        <f t="shared" si="12"/>
        <v>13550</v>
      </c>
      <c r="D62" s="20">
        <v>0.1116</v>
      </c>
      <c r="E62" s="120">
        <v>0.1825</v>
      </c>
      <c r="F62" s="16">
        <f t="shared" si="13"/>
        <v>0.20651607692819551</v>
      </c>
      <c r="G62" s="16">
        <v>0.01</v>
      </c>
      <c r="H62" s="89">
        <f t="shared" si="14"/>
        <v>9.8019137275338054E-5</v>
      </c>
      <c r="I62" s="18">
        <f t="shared" si="8"/>
        <v>1.2076937903694402E-8</v>
      </c>
      <c r="J62" s="16">
        <f t="shared" si="9"/>
        <v>1.7828606266480876E-2</v>
      </c>
      <c r="K62" s="51">
        <f>'Calculs lentille'!N51</f>
        <v>1.2364084171493403E-5</v>
      </c>
      <c r="L62" s="90">
        <v>0.3</v>
      </c>
      <c r="M62" s="98">
        <f t="shared" si="15"/>
        <v>107.09700861448394</v>
      </c>
    </row>
    <row r="63" spans="1:13">
      <c r="A63" s="3"/>
      <c r="B63" s="15">
        <f t="shared" si="11"/>
        <v>284</v>
      </c>
      <c r="C63" s="64">
        <f t="shared" si="12"/>
        <v>13335</v>
      </c>
      <c r="D63" s="20">
        <v>0.1106</v>
      </c>
      <c r="E63" s="120">
        <v>0.1762</v>
      </c>
      <c r="F63" s="16">
        <f t="shared" si="13"/>
        <v>0.20025711762135756</v>
      </c>
      <c r="G63" s="16">
        <v>0.01</v>
      </c>
      <c r="H63" s="89">
        <f t="shared" si="14"/>
        <v>9.3475415204222141E-5</v>
      </c>
      <c r="I63" s="18">
        <f t="shared" si="8"/>
        <v>1.2062964941938786E-8</v>
      </c>
      <c r="J63" s="16">
        <f t="shared" si="9"/>
        <v>1.6225262825988067E-2</v>
      </c>
      <c r="K63" s="51">
        <f>'Calculs lentille'!N52</f>
        <v>1.2213524551880576E-5</v>
      </c>
      <c r="L63" s="90">
        <v>0.3</v>
      </c>
      <c r="M63" s="98">
        <f t="shared" si="15"/>
        <v>112.26391082475513</v>
      </c>
    </row>
    <row r="64" spans="1:13">
      <c r="A64" s="3"/>
      <c r="B64" s="15">
        <f t="shared" si="11"/>
        <v>290.5</v>
      </c>
      <c r="C64" s="64">
        <f t="shared" si="12"/>
        <v>13120</v>
      </c>
      <c r="D64" s="20">
        <v>0.1096</v>
      </c>
      <c r="E64" s="120">
        <v>0.17050000000000001</v>
      </c>
      <c r="F64" s="16">
        <f t="shared" si="13"/>
        <v>0.19454826704172279</v>
      </c>
      <c r="G64" s="16">
        <v>0.01</v>
      </c>
      <c r="H64" s="89">
        <f t="shared" si="14"/>
        <v>8.9238121517365765E-5</v>
      </c>
      <c r="I64" s="18">
        <f t="shared" si="8"/>
        <v>1.2049323815009402E-8</v>
      </c>
      <c r="J64" s="16">
        <f t="shared" si="9"/>
        <v>1.480556475227959E-2</v>
      </c>
      <c r="K64" s="51">
        <f>'Calculs lentille'!N53</f>
        <v>1.2067508685025127E-5</v>
      </c>
      <c r="L64" s="90">
        <v>0.3</v>
      </c>
      <c r="M64" s="98">
        <f t="shared" si="15"/>
        <v>117.52318383068209</v>
      </c>
    </row>
    <row r="65" spans="1:13">
      <c r="A65" s="3"/>
      <c r="B65" s="15">
        <f t="shared" si="11"/>
        <v>297</v>
      </c>
      <c r="C65" s="64">
        <f t="shared" si="12"/>
        <v>12905</v>
      </c>
      <c r="D65" s="20">
        <v>0.1086</v>
      </c>
      <c r="E65" s="120">
        <v>0.1651</v>
      </c>
      <c r="F65" s="16">
        <f t="shared" si="13"/>
        <v>0.18910037542096814</v>
      </c>
      <c r="G65" s="16">
        <v>0.01</v>
      </c>
      <c r="H65" s="89">
        <f t="shared" si="14"/>
        <v>8.528040985625993E-5</v>
      </c>
      <c r="I65" s="18">
        <f t="shared" si="8"/>
        <v>1.2035999476817333E-8</v>
      </c>
      <c r="J65" s="16">
        <f t="shared" si="9"/>
        <v>1.352735961160729E-2</v>
      </c>
      <c r="K65" s="51">
        <f>'Calculs lentille'!N54</f>
        <v>1.1924745901787809E-5</v>
      </c>
      <c r="L65" s="90">
        <v>0.3</v>
      </c>
      <c r="M65" s="98">
        <f t="shared" si="15"/>
        <v>122.95027932479036</v>
      </c>
    </row>
    <row r="66" spans="1:13">
      <c r="A66" s="3"/>
      <c r="B66" s="15">
        <f t="shared" si="11"/>
        <v>303.5</v>
      </c>
      <c r="C66" s="64">
        <f t="shared" si="12"/>
        <v>12690</v>
      </c>
      <c r="D66" s="20">
        <v>0.1077</v>
      </c>
      <c r="E66" s="120">
        <v>0.16020000000000001</v>
      </c>
      <c r="F66" s="16">
        <f t="shared" si="13"/>
        <v>0.18412530837886265</v>
      </c>
      <c r="G66" s="16">
        <v>0.01</v>
      </c>
      <c r="H66" s="89">
        <f t="shared" si="14"/>
        <v>8.1578304421767671E-5</v>
      </c>
      <c r="I66" s="18">
        <f t="shared" si="8"/>
        <v>1.2022977874358351E-8</v>
      </c>
      <c r="J66" s="16">
        <f t="shared" si="9"/>
        <v>1.2389767033844432E-2</v>
      </c>
      <c r="K66" s="51">
        <f>'Calculs lentille'!N55</f>
        <v>1.1786551221315302E-5</v>
      </c>
      <c r="L66" s="90">
        <v>0.3</v>
      </c>
      <c r="M66" s="98">
        <f t="shared" si="15"/>
        <v>128.47081146528384</v>
      </c>
    </row>
    <row r="67" spans="1:13">
      <c r="A67" s="3"/>
      <c r="B67" s="15">
        <f t="shared" si="11"/>
        <v>310</v>
      </c>
      <c r="C67" s="64">
        <f t="shared" si="12"/>
        <v>12475</v>
      </c>
      <c r="D67" s="20">
        <v>0.1067</v>
      </c>
      <c r="E67" s="120">
        <v>0.15559999999999999</v>
      </c>
      <c r="F67" s="16">
        <f t="shared" si="13"/>
        <v>0.17942133616451117</v>
      </c>
      <c r="G67" s="16">
        <v>0.01</v>
      </c>
      <c r="H67" s="89">
        <f t="shared" si="14"/>
        <v>7.8110339896699134E-5</v>
      </c>
      <c r="I67" s="18">
        <f t="shared" si="8"/>
        <v>1.2010245862516458E-8</v>
      </c>
      <c r="J67" s="16">
        <f t="shared" si="9"/>
        <v>1.136413868640767E-2</v>
      </c>
      <c r="K67" s="51">
        <f>'Calculs lentille'!N56</f>
        <v>1.1652137993358574E-5</v>
      </c>
      <c r="L67" s="90">
        <v>0.3</v>
      </c>
      <c r="M67" s="98">
        <f t="shared" si="15"/>
        <v>134.14292590967733</v>
      </c>
    </row>
    <row r="68" spans="1:13">
      <c r="A68" s="3"/>
      <c r="B68" s="15">
        <f t="shared" si="11"/>
        <v>316.5</v>
      </c>
      <c r="C68" s="64">
        <f t="shared" si="12"/>
        <v>12260</v>
      </c>
      <c r="D68" s="20">
        <v>0.10580000000000001</v>
      </c>
      <c r="E68" s="120">
        <v>0.15129999999999999</v>
      </c>
      <c r="F68" s="16">
        <f t="shared" si="13"/>
        <v>0.17500091356534297</v>
      </c>
      <c r="G68" s="16">
        <v>0.01</v>
      </c>
      <c r="H68" s="89">
        <f t="shared" si="14"/>
        <v>7.4857252930529133E-5</v>
      </c>
      <c r="I68" s="18">
        <f t="shared" si="8"/>
        <v>1.1997791127792316E-8</v>
      </c>
      <c r="J68" s="16">
        <f t="shared" si="9"/>
        <v>1.043945984815315E-2</v>
      </c>
      <c r="K68" s="51">
        <f>'Calculs lentille'!N57</f>
        <v>1.1521600199232064E-5</v>
      </c>
      <c r="L68" s="90">
        <v>0.3</v>
      </c>
      <c r="M68" s="98">
        <f t="shared" si="15"/>
        <v>139.95777297990389</v>
      </c>
    </row>
    <row r="69" spans="1:13">
      <c r="A69" s="3"/>
      <c r="B69" s="15">
        <f t="shared" si="11"/>
        <v>323</v>
      </c>
      <c r="C69" s="64">
        <f t="shared" si="12"/>
        <v>12045</v>
      </c>
      <c r="D69" s="20">
        <v>0.105</v>
      </c>
      <c r="E69" s="120">
        <v>0.14729999999999999</v>
      </c>
      <c r="F69" s="16">
        <f t="shared" si="13"/>
        <v>0.17086890496661566</v>
      </c>
      <c r="G69" s="16">
        <v>0.01</v>
      </c>
      <c r="H69" s="89">
        <f t="shared" si="14"/>
        <v>7.1801716923502321E-5</v>
      </c>
      <c r="I69" s="18">
        <f t="shared" si="8"/>
        <v>1.1985602119859317E-8</v>
      </c>
      <c r="J69" s="16">
        <f t="shared" si="9"/>
        <v>9.605456872624988E-3</v>
      </c>
      <c r="K69" s="51">
        <f>'Calculs lentille'!N58</f>
        <v>1.1394982253053447E-5</v>
      </c>
      <c r="L69" s="90">
        <v>0.3</v>
      </c>
      <c r="M69" s="98">
        <f t="shared" si="15"/>
        <v>145.90730110932796</v>
      </c>
    </row>
    <row r="70" spans="1:13">
      <c r="A70" s="3"/>
      <c r="B70" s="15">
        <f t="shared" si="11"/>
        <v>329.5</v>
      </c>
      <c r="C70" s="64">
        <f t="shared" si="12"/>
        <v>11830</v>
      </c>
      <c r="D70" s="20">
        <v>0.1041</v>
      </c>
      <c r="E70" s="120">
        <v>0.14360000000000001</v>
      </c>
      <c r="F70" s="16">
        <f t="shared" si="13"/>
        <v>0.16702237673230336</v>
      </c>
      <c r="G70" s="16">
        <v>0.01</v>
      </c>
      <c r="H70" s="89">
        <f t="shared" si="14"/>
        <v>6.8928113306844513E-5</v>
      </c>
      <c r="I70" s="18">
        <f t="shared" si="8"/>
        <v>1.1973667990003896E-8</v>
      </c>
      <c r="J70" s="16">
        <f t="shared" si="9"/>
        <v>8.852565563127069E-3</v>
      </c>
      <c r="K70" s="51">
        <f>'Calculs lentille'!N59</f>
        <v>1.1272419256567917E-5</v>
      </c>
      <c r="L70" s="90">
        <v>0.3</v>
      </c>
      <c r="M70" s="98">
        <f t="shared" si="15"/>
        <v>151.98525676628023</v>
      </c>
    </row>
    <row r="71" spans="1:13">
      <c r="A71" s="3"/>
      <c r="B71" s="15">
        <f t="shared" si="11"/>
        <v>336</v>
      </c>
      <c r="C71" s="64">
        <f t="shared" si="12"/>
        <v>11615</v>
      </c>
      <c r="D71" s="20">
        <v>0.1033</v>
      </c>
      <c r="E71" s="120">
        <v>0.1401</v>
      </c>
      <c r="F71" s="16">
        <f t="shared" si="13"/>
        <v>0.16336927950569458</v>
      </c>
      <c r="G71" s="16">
        <v>0.01</v>
      </c>
      <c r="H71" s="89">
        <f t="shared" si="14"/>
        <v>6.622233369448882E-5</v>
      </c>
      <c r="I71" s="18">
        <f t="shared" si="8"/>
        <v>1.1961978535636816E-8</v>
      </c>
      <c r="J71" s="16">
        <f t="shared" si="9"/>
        <v>8.1678442144814383E-3</v>
      </c>
      <c r="K71" s="51">
        <f>'Calculs lentille'!N60</f>
        <v>1.1153273124454566E-5</v>
      </c>
      <c r="L71" s="90">
        <v>0.3</v>
      </c>
      <c r="M71" s="98">
        <f t="shared" si="15"/>
        <v>158.22762688706274</v>
      </c>
    </row>
    <row r="72" spans="1:13">
      <c r="A72" s="3"/>
      <c r="B72" s="15">
        <f t="shared" si="11"/>
        <v>342.5</v>
      </c>
      <c r="C72" s="64">
        <f t="shared" si="12"/>
        <v>11400</v>
      </c>
      <c r="D72" s="20">
        <v>0.10249999999999999</v>
      </c>
      <c r="E72" s="120">
        <v>0.1368</v>
      </c>
      <c r="F72" s="16">
        <f t="shared" si="13"/>
        <v>0.15990852981851367</v>
      </c>
      <c r="G72" s="16">
        <v>0.01</v>
      </c>
      <c r="H72" s="89">
        <f t="shared" si="14"/>
        <v>6.367160823790131E-5</v>
      </c>
      <c r="I72" s="18">
        <f t="shared" si="8"/>
        <v>1.1950524150171697E-8</v>
      </c>
      <c r="J72" s="16">
        <f t="shared" si="9"/>
        <v>7.5445902489968443E-3</v>
      </c>
      <c r="K72" s="51">
        <f>'Calculs lentille'!N61</f>
        <v>1.1037809665386917E-5</v>
      </c>
      <c r="L72" s="90">
        <v>0.3</v>
      </c>
      <c r="M72" s="98">
        <f t="shared" si="15"/>
        <v>164.63349900667134</v>
      </c>
    </row>
    <row r="73" spans="1:13">
      <c r="A73" s="3"/>
      <c r="B73" s="15">
        <f t="shared" si="11"/>
        <v>349</v>
      </c>
      <c r="C73" s="64">
        <f t="shared" si="12"/>
        <v>11185</v>
      </c>
      <c r="D73" s="20">
        <v>0.1017</v>
      </c>
      <c r="E73" s="120">
        <v>0.13370000000000001</v>
      </c>
      <c r="F73" s="16">
        <f t="shared" si="13"/>
        <v>0.15664264319131527</v>
      </c>
      <c r="G73" s="16">
        <v>0.01</v>
      </c>
      <c r="H73" s="89">
        <f t="shared" si="14"/>
        <v>6.1264356294595866E-5</v>
      </c>
      <c r="I73" s="18">
        <f t="shared" si="8"/>
        <v>1.1939295777660914E-8</v>
      </c>
      <c r="J73" s="16">
        <f t="shared" si="9"/>
        <v>6.976975896639378E-3</v>
      </c>
      <c r="K73" s="51">
        <f>'Calculs lentille'!N62</f>
        <v>1.0925639092713325E-5</v>
      </c>
      <c r="L73" s="90">
        <v>0.3</v>
      </c>
      <c r="M73" s="98">
        <f t="shared" si="15"/>
        <v>171.19947406035195</v>
      </c>
    </row>
    <row r="74" spans="1:13">
      <c r="A74" s="3"/>
      <c r="B74" s="15">
        <f t="shared" si="11"/>
        <v>355.5</v>
      </c>
      <c r="C74" s="64">
        <f t="shared" si="12"/>
        <v>10970</v>
      </c>
      <c r="D74" s="20">
        <v>0.1009</v>
      </c>
      <c r="E74" s="120">
        <v>0.1308</v>
      </c>
      <c r="F74" s="16">
        <f t="shared" si="13"/>
        <v>0.15357399998864385</v>
      </c>
      <c r="G74" s="16">
        <v>0.01</v>
      </c>
      <c r="H74" s="89">
        <f t="shared" si="14"/>
        <v>5.8990056158187112E-5</v>
      </c>
      <c r="I74" s="18">
        <f t="shared" si="8"/>
        <v>1.1928284871657165E-8</v>
      </c>
      <c r="J74" s="16">
        <f t="shared" si="9"/>
        <v>6.4597615910704353E-3</v>
      </c>
      <c r="K74" s="51">
        <f>'Calculs lentille'!N63</f>
        <v>1.0817007103043156E-5</v>
      </c>
      <c r="L74" s="90">
        <v>0.3</v>
      </c>
      <c r="M74" s="98">
        <f t="shared" si="15"/>
        <v>177.9212382993079</v>
      </c>
    </row>
    <row r="75" spans="1:13">
      <c r="A75" s="3"/>
      <c r="B75" s="15">
        <f t="shared" si="11"/>
        <v>362</v>
      </c>
      <c r="C75" s="64">
        <f t="shared" si="12"/>
        <v>10755</v>
      </c>
      <c r="D75" s="20">
        <v>0.1002</v>
      </c>
      <c r="E75" s="120">
        <v>0.12809999999999999</v>
      </c>
      <c r="F75" s="16">
        <f t="shared" si="13"/>
        <v>0.15070866434779384</v>
      </c>
      <c r="G75" s="16">
        <v>0.01</v>
      </c>
      <c r="H75" s="89">
        <f t="shared" si="14"/>
        <v>5.6839131121218872E-5</v>
      </c>
      <c r="I75" s="18">
        <f t="shared" si="8"/>
        <v>1.1917483357838409E-8</v>
      </c>
      <c r="J75" s="16">
        <f t="shared" si="9"/>
        <v>5.9883809854586927E-3</v>
      </c>
      <c r="K75" s="51">
        <f>'Calculs lentille'!N64</f>
        <v>1.0711781334907171E-5</v>
      </c>
      <c r="L75" s="90">
        <v>0.3</v>
      </c>
      <c r="M75" s="98">
        <f t="shared" si="15"/>
        <v>184.79121719501296</v>
      </c>
    </row>
    <row r="76" spans="1:13">
      <c r="A76" s="3"/>
      <c r="B76" s="15">
        <f t="shared" si="11"/>
        <v>368.5</v>
      </c>
      <c r="C76" s="64">
        <f t="shared" si="12"/>
        <v>10540</v>
      </c>
      <c r="D76" s="20">
        <v>9.9460000000000007E-2</v>
      </c>
      <c r="E76" s="120">
        <v>0.1255</v>
      </c>
      <c r="F76" s="16">
        <f t="shared" si="13"/>
        <v>0.14793775729234204</v>
      </c>
      <c r="G76" s="16">
        <v>0.01</v>
      </c>
      <c r="H76" s="89">
        <f t="shared" si="14"/>
        <v>5.4802849573478294E-5</v>
      </c>
      <c r="I76" s="18">
        <f t="shared" si="8"/>
        <v>1.1906883599990652E-8</v>
      </c>
      <c r="J76" s="16">
        <f t="shared" si="9"/>
        <v>5.5543870425699372E-3</v>
      </c>
      <c r="K76" s="51">
        <f>'Calculs lentille'!N65</f>
        <v>1.0609338921885282E-5</v>
      </c>
      <c r="L76" s="90">
        <v>0.3</v>
      </c>
      <c r="M76" s="98">
        <f t="shared" si="15"/>
        <v>191.87481226953139</v>
      </c>
    </row>
    <row r="77" spans="1:13">
      <c r="A77" s="3"/>
      <c r="B77" s="15">
        <f t="shared" si="11"/>
        <v>375</v>
      </c>
      <c r="C77" s="64">
        <f t="shared" si="12"/>
        <v>10325</v>
      </c>
      <c r="D77" s="20">
        <v>9.8750000000000004E-2</v>
      </c>
      <c r="E77" s="120">
        <v>0.123</v>
      </c>
      <c r="F77" s="16">
        <f t="shared" si="13"/>
        <v>0.1452649575986088</v>
      </c>
      <c r="G77" s="16">
        <v>0.01</v>
      </c>
      <c r="H77" s="89">
        <f t="shared" si="14"/>
        <v>5.2873237195526167E-5</v>
      </c>
      <c r="I77" s="18">
        <f t="shared" si="8"/>
        <v>1.1896478368993388E-8</v>
      </c>
      <c r="J77" s="16">
        <f t="shared" si="9"/>
        <v>5.1546618418664503E-3</v>
      </c>
      <c r="K77" s="51">
        <f>'Calculs lentille'!N66</f>
        <v>1.0509903623162682E-5</v>
      </c>
      <c r="L77" s="90">
        <v>0.3</v>
      </c>
      <c r="M77" s="98">
        <f t="shared" si="15"/>
        <v>199.17551444476948</v>
      </c>
    </row>
    <row r="78" spans="1:13">
      <c r="A78" s="3"/>
      <c r="B78" s="15">
        <f t="shared" si="11"/>
        <v>381.5</v>
      </c>
      <c r="C78" s="64">
        <f t="shared" si="12"/>
        <v>10110</v>
      </c>
      <c r="D78" s="20">
        <v>9.8049999999999998E-2</v>
      </c>
      <c r="E78" s="120">
        <v>0.1207</v>
      </c>
      <c r="F78" s="16">
        <f t="shared" si="13"/>
        <v>0.14279677230785981</v>
      </c>
      <c r="G78" s="16">
        <v>0.01</v>
      </c>
      <c r="H78" s="89">
        <f t="shared" si="14"/>
        <v>5.1042999603620313E-5</v>
      </c>
      <c r="I78" s="18">
        <f t="shared" si="8"/>
        <v>1.1886260814496014E-8</v>
      </c>
      <c r="J78" s="16">
        <f t="shared" si="9"/>
        <v>4.7898188804854315E-3</v>
      </c>
      <c r="K78" s="51">
        <f>'Calculs lentille'!N67</f>
        <v>1.041348682816636E-5</v>
      </c>
      <c r="L78" s="90">
        <v>0.3</v>
      </c>
      <c r="M78" s="98">
        <f t="shared" si="15"/>
        <v>206.62196702872021</v>
      </c>
    </row>
    <row r="79" spans="1:13">
      <c r="A79" s="3"/>
      <c r="B79" s="15">
        <f t="shared" si="11"/>
        <v>388</v>
      </c>
      <c r="C79" s="64">
        <f t="shared" si="12"/>
        <v>9895</v>
      </c>
      <c r="D79" s="20">
        <v>9.7360000000000002E-2</v>
      </c>
      <c r="E79" s="120">
        <v>0.11849999999999999</v>
      </c>
      <c r="F79" s="16">
        <f t="shared" si="13"/>
        <v>0.14042844007134958</v>
      </c>
      <c r="G79" s="16">
        <v>0.01</v>
      </c>
      <c r="H79" s="89">
        <f t="shared" si="14"/>
        <v>4.9305454049188848E-5</v>
      </c>
      <c r="I79" s="18">
        <f t="shared" si="8"/>
        <v>1.1876224439009739E-8</v>
      </c>
      <c r="J79" s="16">
        <f t="shared" si="9"/>
        <v>4.4532716638450657E-3</v>
      </c>
      <c r="K79" s="51">
        <f>'Calculs lentille'!N68</f>
        <v>1.0319824903119625E-5</v>
      </c>
      <c r="L79" s="90">
        <v>0.3</v>
      </c>
      <c r="M79" s="98">
        <f t="shared" si="15"/>
        <v>214.28730493858512</v>
      </c>
    </row>
    <row r="80" spans="1:13">
      <c r="A80" s="3"/>
      <c r="B80" s="15">
        <f t="shared" si="11"/>
        <v>394.5</v>
      </c>
      <c r="C80" s="64">
        <f t="shared" si="12"/>
        <v>9680</v>
      </c>
      <c r="D80" s="20">
        <v>9.6689999999999998E-2</v>
      </c>
      <c r="E80" s="120">
        <v>0.1164</v>
      </c>
      <c r="F80" s="16">
        <f t="shared" si="13"/>
        <v>0.13816121485208277</v>
      </c>
      <c r="G80" s="16">
        <v>0.01</v>
      </c>
      <c r="H80" s="89">
        <f t="shared" si="14"/>
        <v>4.7654468982463238E-5</v>
      </c>
      <c r="I80" s="18">
        <f t="shared" si="8"/>
        <v>1.1866363074172798E-8</v>
      </c>
      <c r="J80" s="16">
        <f t="shared" si="9"/>
        <v>4.1426523770190524E-3</v>
      </c>
      <c r="K80" s="51">
        <f>'Calculs lentille'!N69</f>
        <v>1.0228803591815618E-5</v>
      </c>
      <c r="L80" s="90">
        <v>0.3</v>
      </c>
      <c r="M80" s="98">
        <f t="shared" si="15"/>
        <v>222.17581991523519</v>
      </c>
    </row>
    <row r="81" spans="1:13">
      <c r="A81" s="3"/>
      <c r="B81" s="15">
        <f t="shared" si="11"/>
        <v>401</v>
      </c>
      <c r="C81" s="64">
        <f t="shared" si="12"/>
        <v>9465</v>
      </c>
      <c r="D81" s="20">
        <v>9.604E-2</v>
      </c>
      <c r="E81" s="120">
        <v>0.1144</v>
      </c>
      <c r="F81" s="16">
        <f t="shared" si="13"/>
        <v>0.13599593039655344</v>
      </c>
      <c r="G81" s="16">
        <v>0.01</v>
      </c>
      <c r="H81" s="89">
        <f t="shared" si="14"/>
        <v>4.6084410462985644E-5</v>
      </c>
      <c r="I81" s="18">
        <f t="shared" si="8"/>
        <v>1.1856670858973689E-8</v>
      </c>
      <c r="J81" s="16">
        <f t="shared" si="9"/>
        <v>3.8557948915420733E-3</v>
      </c>
      <c r="K81" s="51">
        <f>'Calculs lentille'!N70</f>
        <v>1.0140225469066592E-5</v>
      </c>
      <c r="L81" s="90">
        <v>0.3</v>
      </c>
      <c r="M81" s="98">
        <f t="shared" si="15"/>
        <v>230.2921188721042</v>
      </c>
    </row>
    <row r="82" spans="1:13">
      <c r="A82" s="3"/>
      <c r="B82" s="15">
        <f t="shared" si="11"/>
        <v>407.5</v>
      </c>
      <c r="C82" s="64">
        <f t="shared" si="12"/>
        <v>9250</v>
      </c>
      <c r="D82" s="20">
        <v>9.5399999999999999E-2</v>
      </c>
      <c r="E82" s="120">
        <v>0.1125</v>
      </c>
      <c r="F82" s="16">
        <f t="shared" si="13"/>
        <v>0.13393299462445452</v>
      </c>
      <c r="G82" s="16">
        <v>0.01</v>
      </c>
      <c r="H82" s="89">
        <f t="shared" si="14"/>
        <v>4.4590094545305279E-5</v>
      </c>
      <c r="I82" s="18">
        <f t="shared" si="8"/>
        <v>1.184714221974216E-8</v>
      </c>
      <c r="J82" s="16">
        <f t="shared" si="9"/>
        <v>3.5907160419404748E-3</v>
      </c>
      <c r="K82" s="51">
        <f>'Calculs lentille'!N71</f>
        <v>1.0054166757130689E-5</v>
      </c>
      <c r="L82" s="90">
        <v>0.3</v>
      </c>
      <c r="M82" s="98">
        <f t="shared" si="15"/>
        <v>238.64124521598072</v>
      </c>
    </row>
    <row r="83" spans="1:13">
      <c r="A83" s="3"/>
      <c r="B83" s="15">
        <f t="shared" si="11"/>
        <v>414</v>
      </c>
      <c r="C83" s="64">
        <f t="shared" si="12"/>
        <v>9035</v>
      </c>
      <c r="D83" s="20">
        <v>9.4769999999999993E-2</v>
      </c>
      <c r="E83" s="120">
        <v>0.11070000000000001</v>
      </c>
      <c r="F83" s="16">
        <f t="shared" si="13"/>
        <v>0.13197316595391295</v>
      </c>
      <c r="G83" s="16">
        <v>0.01</v>
      </c>
      <c r="H83" s="89">
        <f t="shared" si="14"/>
        <v>4.3166744890994277E-5</v>
      </c>
      <c r="I83" s="18">
        <f t="shared" si="8"/>
        <v>1.1837771851738969E-8</v>
      </c>
      <c r="J83" s="16">
        <f t="shared" si="9"/>
        <v>3.3456187507766616E-3</v>
      </c>
      <c r="K83" s="51">
        <f>'Calculs lentille'!N72</f>
        <v>9.9705198647007086E-6</v>
      </c>
      <c r="L83" s="90">
        <v>0.3</v>
      </c>
      <c r="M83" s="98">
        <f t="shared" si="15"/>
        <v>247.22808945627901</v>
      </c>
    </row>
    <row r="84" spans="1:13">
      <c r="A84" s="3"/>
      <c r="B84" s="15">
        <f t="shared" si="11"/>
        <v>420.5</v>
      </c>
      <c r="C84" s="64">
        <f t="shared" si="12"/>
        <v>8820</v>
      </c>
      <c r="D84" s="20">
        <v>9.4149999999999998E-2</v>
      </c>
      <c r="E84" s="120">
        <v>0.109</v>
      </c>
      <c r="F84" s="16">
        <f t="shared" si="13"/>
        <v>0.13011716602955459</v>
      </c>
      <c r="G84" s="16">
        <v>0.01</v>
      </c>
      <c r="H84" s="89">
        <f t="shared" si="14"/>
        <v>4.1809954962007589E-5</v>
      </c>
      <c r="I84" s="18">
        <f t="shared" si="8"/>
        <v>1.1828554702193476E-8</v>
      </c>
      <c r="J84" s="16">
        <f t="shared" si="9"/>
        <v>3.1188625617533357E-3</v>
      </c>
      <c r="K84" s="51">
        <f>'Calculs lentille'!N73</f>
        <v>9.8891831321093896E-6</v>
      </c>
      <c r="L84" s="90">
        <v>0.3</v>
      </c>
      <c r="M84" s="98">
        <f t="shared" si="15"/>
        <v>256.05774638315205</v>
      </c>
    </row>
    <row r="85" spans="1:13">
      <c r="A85" s="3"/>
      <c r="B85" s="15">
        <f t="shared" si="11"/>
        <v>427</v>
      </c>
      <c r="C85" s="64">
        <f t="shared" si="12"/>
        <v>8605</v>
      </c>
      <c r="D85" s="20">
        <v>9.3549999999999994E-2</v>
      </c>
      <c r="E85" s="120">
        <v>0.10730000000000001</v>
      </c>
      <c r="F85" s="16">
        <f t="shared" si="13"/>
        <v>0.12825798220651141</v>
      </c>
      <c r="G85" s="16">
        <v>0.01</v>
      </c>
      <c r="H85" s="89">
        <f t="shared" si="14"/>
        <v>4.0515654238542757E-5</v>
      </c>
      <c r="I85" s="18">
        <f t="shared" si="8"/>
        <v>1.181948595465482E-8</v>
      </c>
      <c r="J85" s="16">
        <f t="shared" si="9"/>
        <v>2.9065077859900452E-3</v>
      </c>
      <c r="K85" s="51">
        <f>'Calculs lentille'!N74</f>
        <v>9.8096917885115991E-6</v>
      </c>
      <c r="L85" s="90">
        <v>0.3</v>
      </c>
      <c r="M85" s="98">
        <f t="shared" si="15"/>
        <v>265.24688486262357</v>
      </c>
    </row>
    <row r="86" spans="1:13">
      <c r="A86" s="3"/>
      <c r="B86" s="15">
        <f t="shared" si="11"/>
        <v>433.5</v>
      </c>
      <c r="C86" s="64">
        <f t="shared" si="12"/>
        <v>8390</v>
      </c>
      <c r="D86" s="20">
        <v>9.2960000000000001E-2</v>
      </c>
      <c r="E86" s="120">
        <v>0.10580000000000001</v>
      </c>
      <c r="F86" s="16">
        <f t="shared" si="13"/>
        <v>0.12661184503102541</v>
      </c>
      <c r="G86" s="16">
        <v>0.01</v>
      </c>
      <c r="H86" s="89">
        <f t="shared" si="14"/>
        <v>3.9280077979512397E-5</v>
      </c>
      <c r="I86" s="18">
        <f t="shared" si="8"/>
        <v>1.1810561014536678E-8</v>
      </c>
      <c r="J86" s="16">
        <f t="shared" si="9"/>
        <v>2.7122017776430784E-3</v>
      </c>
      <c r="K86" s="51">
        <f>'Calculs lentille'!N75</f>
        <v>9.7327029506995322E-6</v>
      </c>
      <c r="L86" s="90">
        <v>0.3</v>
      </c>
      <c r="M86" s="98">
        <f t="shared" si="15"/>
        <v>274.58388114415646</v>
      </c>
    </row>
    <row r="87" spans="1:13">
      <c r="A87" s="3"/>
      <c r="B87" s="15">
        <f t="shared" si="11"/>
        <v>440</v>
      </c>
      <c r="C87" s="64">
        <f t="shared" si="12"/>
        <v>8175</v>
      </c>
      <c r="D87" s="20">
        <v>9.2380000000000004E-2</v>
      </c>
      <c r="E87" s="120">
        <v>0.1043</v>
      </c>
      <c r="F87" s="16">
        <f t="shared" si="13"/>
        <v>0.12496299317099024</v>
      </c>
      <c r="G87" s="16">
        <v>0.01</v>
      </c>
      <c r="H87" s="89">
        <f t="shared" si="14"/>
        <v>3.8099740107658599E-5</v>
      </c>
      <c r="I87" s="18">
        <f t="shared" si="8"/>
        <v>1.1801775495748328E-8</v>
      </c>
      <c r="J87" s="16">
        <f t="shared" si="9"/>
        <v>2.5299069624805915E-3</v>
      </c>
      <c r="K87" s="51">
        <f>'Calculs lentille'!N76</f>
        <v>9.6575399482499051E-6</v>
      </c>
      <c r="L87" s="90">
        <v>0.3</v>
      </c>
      <c r="M87" s="98">
        <f t="shared" si="15"/>
        <v>284.30451868017735</v>
      </c>
    </row>
    <row r="88" spans="1:13">
      <c r="A88" s="3"/>
      <c r="B88" s="15">
        <f t="shared" si="11"/>
        <v>446.5</v>
      </c>
      <c r="C88" s="64">
        <f t="shared" si="12"/>
        <v>7960</v>
      </c>
      <c r="D88" s="20">
        <v>9.1810000000000003E-2</v>
      </c>
      <c r="E88" s="120">
        <v>0.1028</v>
      </c>
      <c r="F88" s="16">
        <f t="shared" si="13"/>
        <v>0.12331142298677478</v>
      </c>
      <c r="G88" s="16">
        <v>0.01</v>
      </c>
      <c r="H88" s="89">
        <f t="shared" si="14"/>
        <v>3.6971408855974232E-5</v>
      </c>
      <c r="I88" s="18">
        <f t="shared" si="8"/>
        <v>1.1793125208315118E-8</v>
      </c>
      <c r="J88" s="16">
        <f t="shared" si="9"/>
        <v>2.3588250663519098E-3</v>
      </c>
      <c r="K88" s="51">
        <f>'Calculs lentille'!N77</f>
        <v>9.5840649553671925E-6</v>
      </c>
      <c r="L88" s="90">
        <v>0.3</v>
      </c>
      <c r="M88" s="98">
        <f t="shared" si="15"/>
        <v>294.43414325005642</v>
      </c>
    </row>
    <row r="89" spans="1:13">
      <c r="A89" s="3"/>
      <c r="B89" s="15">
        <f t="shared" si="11"/>
        <v>453</v>
      </c>
      <c r="C89" s="64">
        <f t="shared" si="12"/>
        <v>7745</v>
      </c>
      <c r="D89" s="20">
        <v>9.1249999999999998E-2</v>
      </c>
      <c r="E89" s="120">
        <v>0.1014</v>
      </c>
      <c r="F89" s="16">
        <f t="shared" si="13"/>
        <v>0.12176603859890656</v>
      </c>
      <c r="G89" s="16">
        <v>0.01</v>
      </c>
      <c r="H89" s="89">
        <f t="shared" si="14"/>
        <v>3.5892084858920212E-5</v>
      </c>
      <c r="I89" s="18">
        <f t="shared" si="8"/>
        <v>1.1784606146902654E-8</v>
      </c>
      <c r="J89" s="16">
        <f t="shared" si="9"/>
        <v>2.2001872418551225E-3</v>
      </c>
      <c r="K89" s="51">
        <f>'Calculs lentille'!N78</f>
        <v>9.5124877617966624E-6</v>
      </c>
      <c r="L89" s="90">
        <v>0.3</v>
      </c>
      <c r="M89" s="98">
        <f t="shared" si="15"/>
        <v>304.86405118489421</v>
      </c>
    </row>
    <row r="90" spans="1:13">
      <c r="A90" s="3"/>
      <c r="B90" s="15">
        <f t="shared" si="11"/>
        <v>459.5</v>
      </c>
      <c r="C90" s="64">
        <f t="shared" si="12"/>
        <v>7530</v>
      </c>
      <c r="D90" s="20">
        <v>9.0700000000000003E-2</v>
      </c>
      <c r="E90" s="120">
        <v>0.10009999999999999</v>
      </c>
      <c r="F90" s="16">
        <f t="shared" si="13"/>
        <v>0.12032741214782883</v>
      </c>
      <c r="G90" s="16">
        <v>0.01</v>
      </c>
      <c r="H90" s="89">
        <f t="shared" si="14"/>
        <v>3.4858981412136756E-5</v>
      </c>
      <c r="I90" s="18">
        <f t="shared" si="8"/>
        <v>1.1776214480166255E-8</v>
      </c>
      <c r="J90" s="16">
        <f t="shared" si="9"/>
        <v>2.0529936314186378E-3</v>
      </c>
      <c r="K90" s="51">
        <f>'Calculs lentille'!N79</f>
        <v>9.4428596185208377E-6</v>
      </c>
      <c r="L90" s="90">
        <v>0.3</v>
      </c>
      <c r="M90" s="98">
        <f t="shared" si="15"/>
        <v>315.60380925563271</v>
      </c>
    </row>
    <row r="91" spans="1:13">
      <c r="A91" s="3"/>
      <c r="B91" s="15">
        <f t="shared" si="11"/>
        <v>466</v>
      </c>
      <c r="C91" s="64">
        <f t="shared" si="12"/>
        <v>7315</v>
      </c>
      <c r="D91" s="20">
        <v>9.0160000000000004E-2</v>
      </c>
      <c r="E91" s="120">
        <v>9.8839999999999997E-2</v>
      </c>
      <c r="F91" s="16">
        <f t="shared" ref="F91:F122" si="16">1-EXP(-D91*$C$6*$C$8)*EXP(-E91*$C$7*$C$9)</f>
        <v>0.11893052772749724</v>
      </c>
      <c r="G91" s="16">
        <v>0.01</v>
      </c>
      <c r="H91" s="89">
        <f t="shared" ref="H91:H126" si="17">10*POWER(B91,-2.05)</f>
        <v>3.3869506658966996E-5</v>
      </c>
      <c r="I91" s="18">
        <f t="shared" si="8"/>
        <v>1.1767946540855419E-8</v>
      </c>
      <c r="J91" s="16">
        <f t="shared" si="9"/>
        <v>1.91526954908283E-3</v>
      </c>
      <c r="K91" s="51">
        <f>'Calculs lentille'!N80</f>
        <v>9.3748823349510489E-6</v>
      </c>
      <c r="L91" s="90">
        <v>0.3</v>
      </c>
      <c r="M91" s="98">
        <f t="shared" ref="M91:M126" si="18">4.29/0.3/SQRT(J91)</f>
        <v>326.75412999525099</v>
      </c>
    </row>
    <row r="92" spans="1:13">
      <c r="A92" s="3"/>
      <c r="B92" s="15">
        <f t="shared" si="11"/>
        <v>472.5</v>
      </c>
      <c r="C92" s="64">
        <f t="shared" si="12"/>
        <v>7100</v>
      </c>
      <c r="D92" s="20">
        <v>8.9630000000000001E-2</v>
      </c>
      <c r="E92" s="120">
        <v>9.7610000000000002E-2</v>
      </c>
      <c r="F92" s="16">
        <f t="shared" si="16"/>
        <v>0.1175646494277085</v>
      </c>
      <c r="G92" s="16">
        <v>0.01</v>
      </c>
      <c r="H92" s="89">
        <f t="shared" si="17"/>
        <v>3.2921247491981701E-5</v>
      </c>
      <c r="I92" s="18">
        <f t="shared" ref="I92:I126" si="19">0.0000000016*B92*B92*H92</f>
        <v>1.1759798816610784E-8</v>
      </c>
      <c r="J92" s="16">
        <f t="shared" ref="J92:J126" si="20">H92*6.5*C92*F92*G92</f>
        <v>1.7861780256342983E-3</v>
      </c>
      <c r="K92" s="51">
        <f>'Calculs lentille'!N81</f>
        <v>9.3084684432074535E-6</v>
      </c>
      <c r="L92" s="90">
        <v>0.3</v>
      </c>
      <c r="M92" s="98">
        <f t="shared" si="18"/>
        <v>338.35583189551909</v>
      </c>
    </row>
    <row r="93" spans="1:13">
      <c r="A93" s="3"/>
      <c r="B93" s="15">
        <f t="shared" ref="B93:B126" si="21">B92+6.5</f>
        <v>479</v>
      </c>
      <c r="C93" s="64">
        <f t="shared" si="12"/>
        <v>6885</v>
      </c>
      <c r="D93" s="20">
        <v>8.9109999999999995E-2</v>
      </c>
      <c r="E93" s="120">
        <v>9.6430000000000002E-2</v>
      </c>
      <c r="F93" s="16">
        <f t="shared" si="16"/>
        <v>0.11625184547013845</v>
      </c>
      <c r="G93" s="16">
        <v>0.01</v>
      </c>
      <c r="H93" s="89">
        <f t="shared" si="17"/>
        <v>3.2011954983513461E-5</v>
      </c>
      <c r="I93" s="18">
        <f t="shared" si="19"/>
        <v>1.1751767941395698E-8</v>
      </c>
      <c r="J93" s="16">
        <f t="shared" si="20"/>
        <v>1.6654413938844434E-3</v>
      </c>
      <c r="K93" s="51">
        <f>'Calculs lentille'!N82</f>
        <v>9.2436095135622037E-6</v>
      </c>
      <c r="L93" s="90">
        <v>0.3</v>
      </c>
      <c r="M93" s="98">
        <f t="shared" si="18"/>
        <v>350.40585972828723</v>
      </c>
    </row>
    <row r="94" spans="1:13">
      <c r="A94" s="3"/>
      <c r="B94" s="15">
        <f t="shared" si="21"/>
        <v>485.5</v>
      </c>
      <c r="C94" s="64">
        <f t="shared" si="12"/>
        <v>6670</v>
      </c>
      <c r="D94" s="20">
        <v>8.8590000000000002E-2</v>
      </c>
      <c r="E94" s="120">
        <v>9.5299999999999996E-2</v>
      </c>
      <c r="F94" s="16">
        <f t="shared" si="16"/>
        <v>0.11499196064631179</v>
      </c>
      <c r="G94" s="16">
        <v>0.01</v>
      </c>
      <c r="H94" s="89">
        <f t="shared" si="17"/>
        <v>3.113953118158487E-5</v>
      </c>
      <c r="I94" s="18">
        <f t="shared" si="19"/>
        <v>1.1743850687510664E-8</v>
      </c>
      <c r="J94" s="16">
        <f t="shared" si="20"/>
        <v>1.5524539948881142E-3</v>
      </c>
      <c r="K94" s="51">
        <f>'Calculs lentille'!N83</f>
        <v>9.180246818239236E-6</v>
      </c>
      <c r="L94" s="90">
        <v>0.3</v>
      </c>
      <c r="M94" s="98">
        <f t="shared" si="18"/>
        <v>362.93317486060459</v>
      </c>
    </row>
    <row r="95" spans="1:13">
      <c r="A95" s="3"/>
      <c r="B95" s="15">
        <f t="shared" si="21"/>
        <v>492</v>
      </c>
      <c r="C95" s="64">
        <f t="shared" si="12"/>
        <v>6455</v>
      </c>
      <c r="D95" s="20">
        <v>8.8090000000000002E-2</v>
      </c>
      <c r="E95" s="120">
        <v>9.4210000000000002E-2</v>
      </c>
      <c r="F95" s="16">
        <f t="shared" si="16"/>
        <v>0.11377503520228771</v>
      </c>
      <c r="G95" s="16">
        <v>0.01</v>
      </c>
      <c r="H95" s="89">
        <f t="shared" si="17"/>
        <v>3.0302017127042096E-5</v>
      </c>
      <c r="I95" s="18">
        <f t="shared" si="19"/>
        <v>1.173604395814451E-8</v>
      </c>
      <c r="J95" s="16">
        <f t="shared" si="20"/>
        <v>1.4465322518856416E-3</v>
      </c>
      <c r="K95" s="51">
        <f>'Calculs lentille'!N84</f>
        <v>9.118408643044143E-6</v>
      </c>
      <c r="L95" s="90">
        <v>0.3</v>
      </c>
      <c r="M95" s="98">
        <f t="shared" si="18"/>
        <v>375.98626216031693</v>
      </c>
    </row>
    <row r="96" spans="1:13">
      <c r="A96" s="3"/>
      <c r="B96" s="15">
        <f t="shared" si="21"/>
        <v>498.5</v>
      </c>
      <c r="C96" s="64">
        <f t="shared" si="12"/>
        <v>6240</v>
      </c>
      <c r="D96" s="20">
        <v>8.7590000000000001E-2</v>
      </c>
      <c r="E96" s="120">
        <v>9.3149999999999997E-2</v>
      </c>
      <c r="F96" s="16">
        <f t="shared" si="16"/>
        <v>0.1125894487181478</v>
      </c>
      <c r="G96" s="16">
        <v>0.01</v>
      </c>
      <c r="H96" s="89">
        <f t="shared" si="17"/>
        <v>2.9497581964595989E-5</v>
      </c>
      <c r="I96" s="18">
        <f t="shared" si="19"/>
        <v>1.1728344780418438E-8</v>
      </c>
      <c r="J96" s="16">
        <f t="shared" si="20"/>
        <v>1.3470448491196053E-3</v>
      </c>
      <c r="K96" s="51">
        <f>'Calculs lentille'!N85</f>
        <v>9.0578570544674211E-6</v>
      </c>
      <c r="L96" s="90">
        <v>0.3</v>
      </c>
      <c r="M96" s="98">
        <f t="shared" si="18"/>
        <v>389.6233801188651</v>
      </c>
    </row>
    <row r="97" spans="1:13">
      <c r="A97" s="3"/>
      <c r="B97" s="15">
        <f t="shared" si="21"/>
        <v>505</v>
      </c>
      <c r="C97" s="64">
        <f t="shared" si="12"/>
        <v>6025</v>
      </c>
      <c r="D97" s="20">
        <v>8.7110000000000007E-2</v>
      </c>
      <c r="E97" s="120">
        <v>9.2130000000000004E-2</v>
      </c>
      <c r="F97" s="16">
        <f t="shared" si="16"/>
        <v>0.11144714921546406</v>
      </c>
      <c r="G97" s="16">
        <v>0.01</v>
      </c>
      <c r="H97" s="89">
        <f t="shared" si="17"/>
        <v>2.8724513035206635E-5</v>
      </c>
      <c r="I97" s="18">
        <f t="shared" si="19"/>
        <v>1.1720750298885716E-8</v>
      </c>
      <c r="J97" s="16">
        <f t="shared" si="20"/>
        <v>1.2536954410185858E-3</v>
      </c>
      <c r="K97" s="51">
        <f>'Calculs lentille'!N86</f>
        <v>8.9986728797509018E-6</v>
      </c>
      <c r="L97" s="90">
        <v>0.3</v>
      </c>
      <c r="M97" s="98">
        <f t="shared" si="18"/>
        <v>403.86853048171105</v>
      </c>
    </row>
    <row r="98" spans="1:13">
      <c r="A98" s="3"/>
      <c r="B98" s="15">
        <f t="shared" si="21"/>
        <v>511.5</v>
      </c>
      <c r="C98" s="64">
        <f t="shared" ref="C98:C124" si="22">C97-215</f>
        <v>5810</v>
      </c>
      <c r="D98" s="20">
        <v>8.6629999999999999E-2</v>
      </c>
      <c r="E98" s="120">
        <v>9.1149999999999995E-2</v>
      </c>
      <c r="F98" s="16">
        <f t="shared" si="16"/>
        <v>0.11034750717114805</v>
      </c>
      <c r="G98" s="16">
        <v>0.01</v>
      </c>
      <c r="H98" s="89">
        <f t="shared" si="17"/>
        <v>2.798120685009828E-5</v>
      </c>
      <c r="I98" s="18">
        <f t="shared" si="19"/>
        <v>1.1713257769450602E-8</v>
      </c>
      <c r="J98" s="16">
        <f t="shared" si="20"/>
        <v>1.1660534483531276E-3</v>
      </c>
      <c r="K98" s="51">
        <f>'Calculs lentille'!N87</f>
        <v>8.9408038208209137E-6</v>
      </c>
      <c r="L98" s="90">
        <v>0.3</v>
      </c>
      <c r="M98" s="98">
        <f t="shared" si="18"/>
        <v>418.77120211926967</v>
      </c>
    </row>
    <row r="99" spans="1:13">
      <c r="A99" s="3"/>
      <c r="B99" s="15">
        <f t="shared" si="21"/>
        <v>518</v>
      </c>
      <c r="C99" s="64">
        <f t="shared" si="22"/>
        <v>5595</v>
      </c>
      <c r="D99" s="20">
        <v>8.616E-2</v>
      </c>
      <c r="E99" s="120">
        <v>9.0200000000000002E-2</v>
      </c>
      <c r="F99" s="16">
        <f t="shared" si="16"/>
        <v>0.1092800404859493</v>
      </c>
      <c r="G99" s="16">
        <v>0.01</v>
      </c>
      <c r="H99" s="89">
        <f t="shared" si="17"/>
        <v>2.726616085794407E-5</v>
      </c>
      <c r="I99" s="18">
        <f t="shared" si="19"/>
        <v>1.1705864553675176E-8</v>
      </c>
      <c r="J99" s="16">
        <f t="shared" si="20"/>
        <v>1.0836231818049254E-3</v>
      </c>
      <c r="K99" s="51">
        <f>'Calculs lentille'!N88</f>
        <v>8.8841812223808195E-6</v>
      </c>
      <c r="L99" s="90">
        <v>0.3</v>
      </c>
      <c r="M99" s="98">
        <f t="shared" si="18"/>
        <v>434.40707902950783</v>
      </c>
    </row>
    <row r="100" spans="1:13">
      <c r="A100" s="3"/>
      <c r="B100" s="15">
        <f t="shared" si="21"/>
        <v>524.5</v>
      </c>
      <c r="C100" s="64">
        <f t="shared" si="22"/>
        <v>5380</v>
      </c>
      <c r="D100" s="20">
        <v>8.5690000000000002E-2</v>
      </c>
      <c r="E100" s="120">
        <v>8.9279999999999998E-2</v>
      </c>
      <c r="F100" s="16">
        <f t="shared" si="16"/>
        <v>0.1082444669031426</v>
      </c>
      <c r="G100" s="16">
        <v>0.01</v>
      </c>
      <c r="H100" s="89">
        <f t="shared" si="17"/>
        <v>2.6577965926613478E-5</v>
      </c>
      <c r="I100" s="18">
        <f t="shared" si="19"/>
        <v>1.1698568113444559E-8</v>
      </c>
      <c r="J100" s="16">
        <f t="shared" si="20"/>
        <v>1.0060581382577286E-3</v>
      </c>
      <c r="K100" s="51">
        <f>'Calculs lentille'!N89</f>
        <v>8.8287600223044407E-6</v>
      </c>
      <c r="L100" s="90">
        <v>0.3</v>
      </c>
      <c r="M100" s="98">
        <f t="shared" si="18"/>
        <v>450.84213546501513</v>
      </c>
    </row>
    <row r="101" spans="1:13">
      <c r="A101" s="3"/>
      <c r="B101" s="15">
        <f t="shared" si="21"/>
        <v>531</v>
      </c>
      <c r="C101" s="64">
        <f t="shared" si="22"/>
        <v>5165</v>
      </c>
      <c r="D101" s="20">
        <v>8.523E-2</v>
      </c>
      <c r="E101" s="120">
        <v>8.8389999999999996E-2</v>
      </c>
      <c r="F101" s="16">
        <f t="shared" si="16"/>
        <v>0.10724130233399021</v>
      </c>
      <c r="G101" s="16">
        <v>0.01</v>
      </c>
      <c r="H101" s="89">
        <f t="shared" si="17"/>
        <v>2.5915299469527364E-5</v>
      </c>
      <c r="I101" s="18">
        <f t="shared" si="19"/>
        <v>1.1691366005963848E-8</v>
      </c>
      <c r="J101" s="16">
        <f t="shared" si="20"/>
        <v>9.3304371902578416E-4</v>
      </c>
      <c r="K101" s="51">
        <f>'Calculs lentille'!N90</f>
        <v>8.7744989098388326E-6</v>
      </c>
      <c r="L101" s="90">
        <v>0.3</v>
      </c>
      <c r="M101" s="98">
        <f t="shared" si="18"/>
        <v>468.15001391064413</v>
      </c>
    </row>
    <row r="102" spans="1:13">
      <c r="A102" s="3"/>
      <c r="B102" s="15">
        <f t="shared" si="21"/>
        <v>537.5</v>
      </c>
      <c r="C102" s="64">
        <f t="shared" si="22"/>
        <v>4950</v>
      </c>
      <c r="D102" s="20">
        <v>8.4779999999999994E-2</v>
      </c>
      <c r="E102" s="120">
        <v>8.7529999999999997E-2</v>
      </c>
      <c r="F102" s="16">
        <f t="shared" si="16"/>
        <v>0.10627065881579389</v>
      </c>
      <c r="G102" s="16">
        <v>0.01</v>
      </c>
      <c r="H102" s="89">
        <f t="shared" si="17"/>
        <v>2.5276919154272605E-5</v>
      </c>
      <c r="I102" s="18">
        <f t="shared" si="19"/>
        <v>1.1684255879062511E-8</v>
      </c>
      <c r="J102" s="16">
        <f t="shared" si="20"/>
        <v>8.6428319342447173E-4</v>
      </c>
      <c r="K102" s="51">
        <f>'Calculs lentille'!N91</f>
        <v>8.7213163236336533E-6</v>
      </c>
      <c r="L102" s="90">
        <v>0.3</v>
      </c>
      <c r="M102" s="98">
        <f t="shared" si="18"/>
        <v>486.41616964589736</v>
      </c>
    </row>
    <row r="103" spans="1:13">
      <c r="A103" s="3"/>
      <c r="B103" s="15">
        <f t="shared" si="21"/>
        <v>544</v>
      </c>
      <c r="C103" s="64">
        <f t="shared" si="22"/>
        <v>4735</v>
      </c>
      <c r="D103" s="20">
        <v>8.4339999999999998E-2</v>
      </c>
      <c r="E103" s="120">
        <v>8.6690000000000003E-2</v>
      </c>
      <c r="F103" s="16">
        <f t="shared" si="16"/>
        <v>0.10532155089058814</v>
      </c>
      <c r="G103" s="16">
        <v>0.01</v>
      </c>
      <c r="H103" s="89">
        <f t="shared" si="17"/>
        <v>2.4661657137825973E-5</v>
      </c>
      <c r="I103" s="18">
        <f t="shared" si="19"/>
        <v>1.1677235466783467E-8</v>
      </c>
      <c r="J103" s="16">
        <f t="shared" si="20"/>
        <v>7.9941600910974481E-4</v>
      </c>
      <c r="K103" s="51">
        <f>'Calculs lentille'!N92</f>
        <v>8.6692387294641191E-6</v>
      </c>
      <c r="L103" s="90">
        <v>0.3</v>
      </c>
      <c r="M103" s="98">
        <f t="shared" si="18"/>
        <v>505.76598395448809</v>
      </c>
    </row>
    <row r="104" spans="1:13">
      <c r="A104" s="3"/>
      <c r="B104" s="15">
        <f t="shared" si="21"/>
        <v>550.5</v>
      </c>
      <c r="C104" s="64">
        <f t="shared" si="22"/>
        <v>4520</v>
      </c>
      <c r="D104" s="20">
        <v>8.3900000000000002E-2</v>
      </c>
      <c r="E104" s="120">
        <v>8.5879999999999998E-2</v>
      </c>
      <c r="F104" s="16">
        <f t="shared" si="16"/>
        <v>0.1044047518103437</v>
      </c>
      <c r="G104" s="16">
        <v>0.01</v>
      </c>
      <c r="H104" s="89">
        <f t="shared" si="17"/>
        <v>2.4068414778648396E-5</v>
      </c>
      <c r="I104" s="18">
        <f t="shared" si="19"/>
        <v>1.1670302585236945E-8</v>
      </c>
      <c r="J104" s="16">
        <f t="shared" si="20"/>
        <v>7.3827734882707244E-4</v>
      </c>
      <c r="K104" s="51">
        <f>'Calculs lentille'!N93</f>
        <v>8.6181677259970785E-6</v>
      </c>
      <c r="L104" s="90">
        <v>0.3</v>
      </c>
      <c r="M104" s="98">
        <f t="shared" si="18"/>
        <v>526.29139042258305</v>
      </c>
    </row>
    <row r="105" spans="1:13">
      <c r="A105" s="3"/>
      <c r="B105" s="15">
        <f t="shared" si="21"/>
        <v>557</v>
      </c>
      <c r="C105" s="64">
        <f t="shared" si="22"/>
        <v>4305</v>
      </c>
      <c r="D105" s="20">
        <v>8.3470000000000003E-2</v>
      </c>
      <c r="E105" s="120">
        <v>8.5099999999999995E-2</v>
      </c>
      <c r="F105" s="16">
        <f t="shared" si="16"/>
        <v>0.10352076634200746</v>
      </c>
      <c r="G105" s="16">
        <v>0.01</v>
      </c>
      <c r="H105" s="89">
        <f t="shared" si="17"/>
        <v>2.3496157781129047E-5</v>
      </c>
      <c r="I105" s="18">
        <f t="shared" si="19"/>
        <v>1.166345512870001E-8</v>
      </c>
      <c r="J105" s="16">
        <f t="shared" si="20"/>
        <v>6.8062961314122711E-4</v>
      </c>
      <c r="K105" s="51">
        <f>'Calculs lentille'!N94</f>
        <v>8.5681482319018524E-6</v>
      </c>
      <c r="L105" s="90">
        <v>0.3</v>
      </c>
      <c r="M105" s="98">
        <f t="shared" si="18"/>
        <v>548.12627022010565</v>
      </c>
    </row>
    <row r="106" spans="1:13">
      <c r="A106" s="3"/>
      <c r="B106" s="15">
        <f t="shared" si="21"/>
        <v>563.5</v>
      </c>
      <c r="C106" s="64">
        <f t="shared" si="22"/>
        <v>4090</v>
      </c>
      <c r="D106" s="20">
        <v>8.3049999999999999E-2</v>
      </c>
      <c r="E106" s="120">
        <v>8.4339999999999998E-2</v>
      </c>
      <c r="F106" s="16">
        <f t="shared" si="16"/>
        <v>0.1026585665047367</v>
      </c>
      <c r="G106" s="16">
        <v>0.01</v>
      </c>
      <c r="H106" s="89">
        <f t="shared" si="17"/>
        <v>2.2943911732478476E-5</v>
      </c>
      <c r="I106" s="18">
        <f t="shared" si="19"/>
        <v>1.1656691065944462E-8</v>
      </c>
      <c r="J106" s="16">
        <f t="shared" si="20"/>
        <v>6.2618018916907174E-4</v>
      </c>
      <c r="K106" s="51">
        <f>'Calculs lentille'!N95</f>
        <v>8.5190886143808708E-6</v>
      </c>
      <c r="L106" s="90">
        <v>0.3</v>
      </c>
      <c r="M106" s="98">
        <f t="shared" si="18"/>
        <v>571.46070907453327</v>
      </c>
    </row>
    <row r="107" spans="1:13">
      <c r="A107" s="3"/>
      <c r="B107" s="15">
        <f t="shared" si="21"/>
        <v>570</v>
      </c>
      <c r="C107" s="64">
        <f t="shared" si="22"/>
        <v>3875</v>
      </c>
      <c r="D107" s="20">
        <v>8.2629999999999995E-2</v>
      </c>
      <c r="E107" s="120">
        <v>8.3589999999999998E-2</v>
      </c>
      <c r="F107" s="16">
        <f t="shared" si="16"/>
        <v>0.10180667510253838</v>
      </c>
      <c r="G107" s="16">
        <v>0.01</v>
      </c>
      <c r="H107" s="89">
        <f t="shared" si="17"/>
        <v>2.2410757996263173E-5</v>
      </c>
      <c r="I107" s="18">
        <f t="shared" si="19"/>
        <v>1.1650008436777449E-8</v>
      </c>
      <c r="J107" s="16">
        <f t="shared" si="20"/>
        <v>5.7466912345328317E-4</v>
      </c>
      <c r="K107" s="51">
        <f>'Calculs lentille'!N96</f>
        <v>8.470975236217786E-6</v>
      </c>
      <c r="L107" s="90">
        <v>0.3</v>
      </c>
      <c r="M107" s="98">
        <f t="shared" si="18"/>
        <v>596.52287971014982</v>
      </c>
    </row>
    <row r="108" spans="1:13">
      <c r="A108" s="3"/>
      <c r="B108" s="15">
        <f t="shared" si="21"/>
        <v>576.5</v>
      </c>
      <c r="C108" s="64">
        <f t="shared" si="22"/>
        <v>3660</v>
      </c>
      <c r="D108" s="20">
        <v>8.2220000000000001E-2</v>
      </c>
      <c r="E108" s="120">
        <v>8.2869999999999999E-2</v>
      </c>
      <c r="F108" s="16">
        <f t="shared" si="16"/>
        <v>0.10098782340258261</v>
      </c>
      <c r="G108" s="16">
        <v>0.01</v>
      </c>
      <c r="H108" s="89">
        <f t="shared" si="17"/>
        <v>2.189582993040532E-5</v>
      </c>
      <c r="I108" s="18">
        <f t="shared" si="19"/>
        <v>1.1643405348780084E-8</v>
      </c>
      <c r="J108" s="16">
        <f t="shared" si="20"/>
        <v>5.2604738387038521E-4</v>
      </c>
      <c r="K108" s="51">
        <f>'Calculs lentille'!N97</f>
        <v>8.4237438887155178E-6</v>
      </c>
      <c r="L108" s="90">
        <v>0.3</v>
      </c>
      <c r="M108" s="98">
        <f t="shared" si="18"/>
        <v>623.48154784404176</v>
      </c>
    </row>
    <row r="109" spans="1:13">
      <c r="A109" s="3"/>
      <c r="B109" s="15">
        <f t="shared" si="21"/>
        <v>583</v>
      </c>
      <c r="C109" s="64">
        <f t="shared" si="22"/>
        <v>3445</v>
      </c>
      <c r="D109" s="20">
        <v>8.1809999999999994E-2</v>
      </c>
      <c r="E109" s="120">
        <v>8.2170000000000007E-2</v>
      </c>
      <c r="F109" s="16">
        <f t="shared" si="16"/>
        <v>0.10019054073523592</v>
      </c>
      <c r="G109" s="16">
        <v>0.01</v>
      </c>
      <c r="H109" s="89">
        <f t="shared" si="17"/>
        <v>2.1398309400699079E-5</v>
      </c>
      <c r="I109" s="18">
        <f t="shared" si="19"/>
        <v>1.1636879974230737E-8</v>
      </c>
      <c r="J109" s="16">
        <f t="shared" si="20"/>
        <v>4.80074641373181E-4</v>
      </c>
      <c r="K109" s="51">
        <f>'Calculs lentille'!N98</f>
        <v>8.3774175596756412E-6</v>
      </c>
      <c r="L109" s="90">
        <v>0.3</v>
      </c>
      <c r="M109" s="98">
        <f t="shared" si="18"/>
        <v>652.65197170855151</v>
      </c>
    </row>
    <row r="110" spans="1:13">
      <c r="A110" s="3"/>
      <c r="B110" s="15">
        <f t="shared" si="21"/>
        <v>589.5</v>
      </c>
      <c r="C110" s="64">
        <f t="shared" si="22"/>
        <v>3230</v>
      </c>
      <c r="D110" s="20">
        <v>8.1409999999999996E-2</v>
      </c>
      <c r="E110" s="120">
        <v>8.1490000000000007E-2</v>
      </c>
      <c r="F110" s="16">
        <f t="shared" si="16"/>
        <v>9.9415291054319121E-2</v>
      </c>
      <c r="G110" s="16">
        <v>0.01</v>
      </c>
      <c r="H110" s="89">
        <f t="shared" si="17"/>
        <v>2.091742356376635E-5</v>
      </c>
      <c r="I110" s="18">
        <f t="shared" si="19"/>
        <v>1.1630430547200536E-8</v>
      </c>
      <c r="J110" s="16">
        <f t="shared" si="20"/>
        <v>4.3659349226905911E-4</v>
      </c>
      <c r="K110" s="51">
        <f>'Calculs lentille'!N99</f>
        <v>8.3319348931618164E-6</v>
      </c>
      <c r="L110" s="90">
        <v>0.3</v>
      </c>
      <c r="M110" s="98">
        <f t="shared" si="18"/>
        <v>684.38015608622686</v>
      </c>
    </row>
    <row r="111" spans="1:13">
      <c r="A111" s="3"/>
      <c r="B111" s="15">
        <f t="shared" si="21"/>
        <v>596</v>
      </c>
      <c r="C111" s="64">
        <f t="shared" si="22"/>
        <v>3015</v>
      </c>
      <c r="D111" s="20">
        <v>8.1019999999999995E-2</v>
      </c>
      <c r="E111" s="120">
        <v>8.0820000000000003E-2</v>
      </c>
      <c r="F111" s="16">
        <f t="shared" si="16"/>
        <v>9.8650955850440813E-2</v>
      </c>
      <c r="G111" s="16">
        <v>0.01</v>
      </c>
      <c r="H111" s="89">
        <f t="shared" si="17"/>
        <v>2.045244189593384E-5</v>
      </c>
      <c r="I111" s="18">
        <f t="shared" si="19"/>
        <v>1.1624055360809656E-8</v>
      </c>
      <c r="J111" s="16">
        <f t="shared" si="20"/>
        <v>3.9540953540829441E-4</v>
      </c>
      <c r="K111" s="51">
        <f>'Calculs lentille'!N100</f>
        <v>8.2872539951080648E-6</v>
      </c>
      <c r="L111" s="90">
        <v>0.3</v>
      </c>
      <c r="M111" s="98">
        <f t="shared" si="18"/>
        <v>719.13838154148391</v>
      </c>
    </row>
    <row r="112" spans="1:13">
      <c r="A112" s="3"/>
      <c r="B112" s="15">
        <f t="shared" si="21"/>
        <v>602.5</v>
      </c>
      <c r="C112" s="64">
        <f t="shared" si="22"/>
        <v>2800</v>
      </c>
      <c r="D112" s="20">
        <v>8.0629999999999993E-2</v>
      </c>
      <c r="E112" s="120">
        <v>8.0170000000000005E-2</v>
      </c>
      <c r="F112" s="16">
        <f t="shared" si="16"/>
        <v>9.7908344098149191E-2</v>
      </c>
      <c r="G112" s="16">
        <v>0.01</v>
      </c>
      <c r="H112" s="89">
        <f t="shared" si="17"/>
        <v>2.0002673446796419E-5</v>
      </c>
      <c r="I112" s="18">
        <f t="shared" si="19"/>
        <v>1.1617752764633828E-8</v>
      </c>
      <c r="J112" s="16">
        <f t="shared" si="20"/>
        <v>3.5643401151755772E-4</v>
      </c>
      <c r="K112" s="51">
        <f>'Calculs lentille'!N101</f>
        <v>8.2433974272583889E-6</v>
      </c>
      <c r="L112" s="90">
        <v>0.3</v>
      </c>
      <c r="M112" s="98">
        <f t="shared" si="18"/>
        <v>757.43691648932713</v>
      </c>
    </row>
    <row r="113" spans="1:13">
      <c r="A113" s="3"/>
      <c r="B113" s="15">
        <f t="shared" si="21"/>
        <v>609</v>
      </c>
      <c r="C113" s="64">
        <f t="shared" si="22"/>
        <v>2585</v>
      </c>
      <c r="D113" s="20">
        <v>8.0240000000000006E-2</v>
      </c>
      <c r="E113" s="120">
        <v>7.954E-2</v>
      </c>
      <c r="F113" s="16">
        <f t="shared" si="16"/>
        <v>9.7187510543421118E-2</v>
      </c>
      <c r="G113" s="16">
        <v>0.01</v>
      </c>
      <c r="H113" s="89">
        <f t="shared" si="17"/>
        <v>1.9567464298271272E-5</v>
      </c>
      <c r="I113" s="18">
        <f t="shared" si="19"/>
        <v>1.1611521162251434E-8</v>
      </c>
      <c r="J113" s="16">
        <f t="shared" si="20"/>
        <v>3.1953535081834087E-4</v>
      </c>
      <c r="K113" s="51">
        <f>'Calculs lentille'!N102</f>
        <v>8.2003391402881701E-6</v>
      </c>
      <c r="L113" s="90">
        <v>0.3</v>
      </c>
      <c r="M113" s="98">
        <f t="shared" si="18"/>
        <v>799.97530649083762</v>
      </c>
    </row>
    <row r="114" spans="1:13">
      <c r="A114" s="3"/>
      <c r="B114" s="15">
        <f t="shared" si="21"/>
        <v>615.5</v>
      </c>
      <c r="C114" s="64">
        <f t="shared" si="22"/>
        <v>2370</v>
      </c>
      <c r="D114" s="20">
        <v>7.986E-2</v>
      </c>
      <c r="E114" s="120">
        <v>7.8920000000000004E-2</v>
      </c>
      <c r="F114" s="16">
        <f t="shared" si="16"/>
        <v>9.647771132888916E-2</v>
      </c>
      <c r="G114" s="16">
        <v>0.01</v>
      </c>
      <c r="H114" s="89">
        <f t="shared" si="17"/>
        <v>1.9146195211771558E-5</v>
      </c>
      <c r="I114" s="18">
        <f t="shared" si="19"/>
        <v>1.1605359008922144E-8</v>
      </c>
      <c r="J114" s="16">
        <f t="shared" si="20"/>
        <v>2.8455824763666424E-4</v>
      </c>
      <c r="K114" s="51">
        <f>'Calculs lentille'!N103</f>
        <v>8.1579819069603218E-6</v>
      </c>
      <c r="L114" s="90">
        <v>0.3</v>
      </c>
      <c r="M114" s="98">
        <f t="shared" si="18"/>
        <v>847.71613349373217</v>
      </c>
    </row>
    <row r="115" spans="1:13">
      <c r="A115" s="3"/>
      <c r="B115" s="15">
        <f t="shared" si="21"/>
        <v>622</v>
      </c>
      <c r="C115" s="64">
        <f t="shared" si="22"/>
        <v>2155</v>
      </c>
      <c r="D115" s="20">
        <v>7.9490000000000005E-2</v>
      </c>
      <c r="E115" s="120">
        <v>7.8320000000000001E-2</v>
      </c>
      <c r="F115" s="16">
        <f t="shared" si="16"/>
        <v>9.5790185649957116E-2</v>
      </c>
      <c r="G115" s="16">
        <v>0.01</v>
      </c>
      <c r="H115" s="89">
        <f t="shared" si="17"/>
        <v>1.8738279447761598E-5</v>
      </c>
      <c r="I115" s="18">
        <f t="shared" si="19"/>
        <v>1.1599264809388477E-8</v>
      </c>
      <c r="J115" s="16">
        <f t="shared" si="20"/>
        <v>2.5142667813368995E-4</v>
      </c>
      <c r="K115" s="51">
        <f>'Calculs lentille'!N104</f>
        <v>8.1163786584507539E-6</v>
      </c>
      <c r="L115" s="90">
        <v>0.3</v>
      </c>
      <c r="M115" s="98">
        <f t="shared" si="18"/>
        <v>901.84179566668911</v>
      </c>
    </row>
    <row r="116" spans="1:13">
      <c r="A116" s="3"/>
      <c r="B116" s="15">
        <f t="shared" si="21"/>
        <v>628.5</v>
      </c>
      <c r="C116" s="64">
        <f t="shared" si="22"/>
        <v>1940</v>
      </c>
      <c r="D116" s="20">
        <v>7.9119999999999996E-2</v>
      </c>
      <c r="E116" s="120">
        <v>7.7729999999999994E-2</v>
      </c>
      <c r="F116" s="16">
        <f t="shared" si="16"/>
        <v>9.5113357469605142E-2</v>
      </c>
      <c r="G116" s="16">
        <v>0.01</v>
      </c>
      <c r="H116" s="89">
        <f t="shared" si="17"/>
        <v>1.8343160743421354E-5</v>
      </c>
      <c r="I116" s="18">
        <f t="shared" si="19"/>
        <v>1.1593237115792866E-8</v>
      </c>
      <c r="J116" s="16">
        <f t="shared" si="20"/>
        <v>2.2000409817933553E-4</v>
      </c>
      <c r="K116" s="51">
        <f>'Calculs lentille'!N105</f>
        <v>8.0754910449282652E-6</v>
      </c>
      <c r="L116" s="90">
        <v>0.3</v>
      </c>
      <c r="M116" s="98">
        <f t="shared" si="18"/>
        <v>964.09682372407144</v>
      </c>
    </row>
    <row r="117" spans="1:13">
      <c r="A117" s="3"/>
      <c r="B117" s="15">
        <f t="shared" si="21"/>
        <v>635</v>
      </c>
      <c r="C117" s="64">
        <f t="shared" si="22"/>
        <v>1725</v>
      </c>
      <c r="D117" s="20">
        <v>7.8759999999999997E-2</v>
      </c>
      <c r="E117" s="120">
        <v>7.7160000000000006E-2</v>
      </c>
      <c r="F117" s="16">
        <f t="shared" si="16"/>
        <v>9.4458887864802721E-2</v>
      </c>
      <c r="G117" s="16">
        <v>0.01</v>
      </c>
      <c r="H117" s="89">
        <f t="shared" si="17"/>
        <v>1.796031143546252E-5</v>
      </c>
      <c r="I117" s="18">
        <f t="shared" si="19"/>
        <v>1.1587274525703001E-8</v>
      </c>
      <c r="J117" s="16">
        <f t="shared" si="20"/>
        <v>1.9022130079720766E-4</v>
      </c>
      <c r="K117" s="51">
        <f>'Calculs lentille'!N106</f>
        <v>8.0352865842324568E-6</v>
      </c>
      <c r="L117" s="90">
        <v>0.3</v>
      </c>
      <c r="M117" s="98">
        <f t="shared" si="18"/>
        <v>1036.8273956693176</v>
      </c>
    </row>
    <row r="118" spans="1:13">
      <c r="A118" s="3"/>
      <c r="B118" s="15">
        <f t="shared" si="21"/>
        <v>641.5</v>
      </c>
      <c r="C118" s="64">
        <f t="shared" si="22"/>
        <v>1510</v>
      </c>
      <c r="D118" s="20">
        <v>7.8399999999999997E-2</v>
      </c>
      <c r="E118" s="120">
        <v>7.6600000000000001E-2</v>
      </c>
      <c r="F118" s="16">
        <f t="shared" si="16"/>
        <v>9.3815181668794878E-2</v>
      </c>
      <c r="G118" s="16">
        <v>0.01</v>
      </c>
      <c r="H118" s="89">
        <f t="shared" si="17"/>
        <v>1.7589230716320035E-5</v>
      </c>
      <c r="I118" s="18">
        <f t="shared" si="19"/>
        <v>1.1581375680238614E-8</v>
      </c>
      <c r="J118" s="16">
        <f t="shared" si="20"/>
        <v>1.6196093428771916E-4</v>
      </c>
      <c r="K118" s="51">
        <f>'Calculs lentille'!N107</f>
        <v>7.9957572546668656E-6</v>
      </c>
      <c r="L118" s="90">
        <v>0.3</v>
      </c>
      <c r="M118" s="98">
        <f t="shared" si="18"/>
        <v>1123.6495980660711</v>
      </c>
    </row>
    <row r="119" spans="1:13">
      <c r="A119" s="3"/>
      <c r="B119" s="15">
        <f t="shared" si="21"/>
        <v>648</v>
      </c>
      <c r="C119" s="64">
        <f t="shared" si="22"/>
        <v>1295</v>
      </c>
      <c r="D119" s="20">
        <v>7.8039999999999998E-2</v>
      </c>
      <c r="E119" s="120">
        <v>7.6050000000000006E-2</v>
      </c>
      <c r="F119" s="16">
        <f t="shared" si="16"/>
        <v>9.3182262502266244E-2</v>
      </c>
      <c r="G119" s="16">
        <v>0.01</v>
      </c>
      <c r="H119" s="89">
        <f t="shared" si="17"/>
        <v>1.7229443013006542E-5</v>
      </c>
      <c r="I119" s="18">
        <f t="shared" si="19"/>
        <v>1.1575539262293598E-8</v>
      </c>
      <c r="J119" s="16">
        <f t="shared" si="20"/>
        <v>1.3514115118916928E-4</v>
      </c>
      <c r="K119" s="51">
        <f>'Calculs lentille'!N108</f>
        <v>7.9568586397840192E-6</v>
      </c>
      <c r="L119" s="90">
        <v>0.3</v>
      </c>
      <c r="M119" s="98">
        <f t="shared" si="18"/>
        <v>1230.1051320897491</v>
      </c>
    </row>
    <row r="120" spans="1:13">
      <c r="A120" s="3"/>
      <c r="B120" s="15">
        <f t="shared" si="21"/>
        <v>654.5</v>
      </c>
      <c r="C120" s="64">
        <f t="shared" si="22"/>
        <v>1080</v>
      </c>
      <c r="D120" s="20">
        <v>7.7689999999999995E-2</v>
      </c>
      <c r="E120" s="120">
        <v>7.5520000000000004E-2</v>
      </c>
      <c r="F120" s="16">
        <f t="shared" si="16"/>
        <v>9.2571814128238006E-2</v>
      </c>
      <c r="G120" s="16">
        <v>0.01</v>
      </c>
      <c r="H120" s="89">
        <f t="shared" si="17"/>
        <v>1.6880496478875096E-5</v>
      </c>
      <c r="I120" s="18">
        <f t="shared" si="19"/>
        <v>1.1569763994847753E-8</v>
      </c>
      <c r="J120" s="16">
        <f t="shared" si="20"/>
        <v>1.0969860440692305E-4</v>
      </c>
      <c r="K120" s="51">
        <f>'Calculs lentille'!N109</f>
        <v>7.9186125266361757E-6</v>
      </c>
      <c r="L120" s="90">
        <v>0.3</v>
      </c>
      <c r="M120" s="98">
        <f t="shared" si="18"/>
        <v>1365.3232511342569</v>
      </c>
    </row>
    <row r="121" spans="1:13">
      <c r="A121" s="3"/>
      <c r="B121" s="15">
        <f t="shared" si="21"/>
        <v>661</v>
      </c>
      <c r="C121" s="64">
        <f t="shared" si="22"/>
        <v>865</v>
      </c>
      <c r="D121" s="62">
        <v>7.7340000000000006E-2</v>
      </c>
      <c r="E121" s="120">
        <v>7.4990000000000001E-2</v>
      </c>
      <c r="F121" s="16">
        <f t="shared" si="16"/>
        <v>9.1960954814720997E-2</v>
      </c>
      <c r="G121" s="16">
        <v>0.01</v>
      </c>
      <c r="H121" s="89">
        <f t="shared" si="17"/>
        <v>1.6541961589399015E-5</v>
      </c>
      <c r="I121" s="18">
        <f t="shared" si="19"/>
        <v>1.1564048639362891E-8</v>
      </c>
      <c r="J121" s="16">
        <f t="shared" si="20"/>
        <v>8.5530289888106754E-5</v>
      </c>
      <c r="K121" s="51">
        <f>'Calculs lentille'!N110</f>
        <v>7.8809728602109229E-6</v>
      </c>
      <c r="L121" s="90">
        <v>0.3</v>
      </c>
      <c r="M121" s="98">
        <f t="shared" si="18"/>
        <v>1546.2370147867407</v>
      </c>
    </row>
    <row r="122" spans="1:13">
      <c r="A122" s="3"/>
      <c r="B122" s="15">
        <f t="shared" si="21"/>
        <v>667.5</v>
      </c>
      <c r="C122" s="64">
        <f t="shared" si="22"/>
        <v>650</v>
      </c>
      <c r="D122" s="62">
        <v>7.6999999999999999E-2</v>
      </c>
      <c r="E122" s="120">
        <v>7.4480000000000005E-2</v>
      </c>
      <c r="F122" s="16">
        <f t="shared" si="16"/>
        <v>9.1372627415894137E-2</v>
      </c>
      <c r="G122" s="16">
        <v>0.01</v>
      </c>
      <c r="H122" s="89">
        <f t="shared" si="17"/>
        <v>1.6213429833856275E-5</v>
      </c>
      <c r="I122" s="18">
        <f t="shared" si="19"/>
        <v>1.1558391994257799E-8</v>
      </c>
      <c r="J122" s="16">
        <f t="shared" si="20"/>
        <v>6.2591840621228738E-5</v>
      </c>
      <c r="K122" s="51">
        <f>'Calculs lentille'!N111</f>
        <v>7.8439268613773679E-6</v>
      </c>
      <c r="L122" s="90">
        <v>0.3</v>
      </c>
      <c r="M122" s="98">
        <f t="shared" si="18"/>
        <v>1807.4952971922623</v>
      </c>
    </row>
    <row r="123" spans="1:13">
      <c r="A123" s="3"/>
      <c r="B123" s="15">
        <f t="shared" si="21"/>
        <v>674</v>
      </c>
      <c r="C123" s="64">
        <f t="shared" si="22"/>
        <v>435</v>
      </c>
      <c r="D123" s="62">
        <v>7.6660000000000006E-2</v>
      </c>
      <c r="E123" s="120">
        <v>7.3980000000000004E-2</v>
      </c>
      <c r="F123" s="16">
        <f t="shared" ref="F123:F126" si="23">1-EXP(-D123*$C$6*$C$8)*EXP(-E123*$C$7*$C$9)</f>
        <v>9.0795193043484379E-2</v>
      </c>
      <c r="G123" s="16">
        <v>0.01</v>
      </c>
      <c r="H123" s="89">
        <f t="shared" si="17"/>
        <v>1.5894512495512656E-5</v>
      </c>
      <c r="I123" s="18">
        <f t="shared" si="19"/>
        <v>1.1552792893458414E-8</v>
      </c>
      <c r="J123" s="16">
        <f t="shared" si="20"/>
        <v>4.0804934215989687E-5</v>
      </c>
      <c r="K123" s="51">
        <f>'Calculs lentille'!N112</f>
        <v>7.8074456374564511E-6</v>
      </c>
      <c r="L123" s="90">
        <v>0.3</v>
      </c>
      <c r="M123" s="98">
        <f t="shared" si="18"/>
        <v>2238.6164793146286</v>
      </c>
    </row>
    <row r="124" spans="1:13">
      <c r="A124" s="3"/>
      <c r="B124" s="15">
        <f t="shared" si="21"/>
        <v>680.5</v>
      </c>
      <c r="C124" s="64">
        <f t="shared" si="22"/>
        <v>220</v>
      </c>
      <c r="D124" s="62">
        <v>7.6329999999999995E-2</v>
      </c>
      <c r="E124" s="120">
        <v>7.349E-2</v>
      </c>
      <c r="F124" s="16">
        <f t="shared" si="23"/>
        <v>9.0229082341869216E-2</v>
      </c>
      <c r="G124" s="16">
        <v>0.01</v>
      </c>
      <c r="H124" s="89">
        <f t="shared" si="17"/>
        <v>1.5584839513531441E-5</v>
      </c>
      <c r="I124" s="18">
        <f t="shared" si="19"/>
        <v>1.1547250205017629E-8</v>
      </c>
      <c r="J124" s="16">
        <f t="shared" si="20"/>
        <v>2.010874247884281E-5</v>
      </c>
      <c r="K124" s="51">
        <f>'Calculs lentille'!N113</f>
        <v>7.7715590582458138E-6</v>
      </c>
      <c r="L124" s="90">
        <v>0.3</v>
      </c>
      <c r="M124" s="98">
        <f t="shared" si="18"/>
        <v>3188.9196840974096</v>
      </c>
    </row>
    <row r="125" spans="1:13">
      <c r="A125" s="3"/>
      <c r="B125" s="15">
        <f t="shared" si="21"/>
        <v>687</v>
      </c>
      <c r="C125" s="64">
        <v>100</v>
      </c>
      <c r="D125" s="62">
        <v>7.5999999999999998E-2</v>
      </c>
      <c r="E125" s="120">
        <v>7.3010000000000005E-2</v>
      </c>
      <c r="F125" s="16">
        <f t="shared" si="23"/>
        <v>8.9673907268492892E-2</v>
      </c>
      <c r="G125" s="16">
        <v>0.01</v>
      </c>
      <c r="H125" s="89">
        <f t="shared" si="17"/>
        <v>1.5284058420417695E-5</v>
      </c>
      <c r="I125" s="18">
        <f t="shared" si="19"/>
        <v>1.1541762829801791E-8</v>
      </c>
      <c r="J125" s="16">
        <f t="shared" si="20"/>
        <v>8.908778043611968E-6</v>
      </c>
      <c r="K125" s="51">
        <f>'Calculs lentille'!N114</f>
        <v>7.7362069988116701E-6</v>
      </c>
      <c r="L125" s="90">
        <v>0.3</v>
      </c>
      <c r="M125" s="98">
        <f t="shared" si="18"/>
        <v>4791.008793955516</v>
      </c>
    </row>
    <row r="126" spans="1:13">
      <c r="A126" s="3"/>
      <c r="B126" s="21">
        <f t="shared" si="21"/>
        <v>693.5</v>
      </c>
      <c r="C126" s="63">
        <v>40</v>
      </c>
      <c r="D126" s="23">
        <v>7.5679999999999997E-2</v>
      </c>
      <c r="E126" s="22">
        <v>7.2539999999999993E-2</v>
      </c>
      <c r="F126" s="22">
        <f t="shared" si="23"/>
        <v>8.9130098160676408E-2</v>
      </c>
      <c r="G126" s="22">
        <v>0.01</v>
      </c>
      <c r="H126" s="92">
        <f t="shared" si="17"/>
        <v>1.4991833349325571E-5</v>
      </c>
      <c r="I126" s="24">
        <f t="shared" si="19"/>
        <v>1.1536329700239483E-8</v>
      </c>
      <c r="J126" s="22">
        <f t="shared" si="20"/>
        <v>3.4741813028881147E-6</v>
      </c>
      <c r="K126" s="51">
        <f>'Calculs lentille'!N115</f>
        <v>7.701376745779745E-6</v>
      </c>
      <c r="L126" s="91">
        <v>0.3</v>
      </c>
      <c r="M126" s="99">
        <f t="shared" si="18"/>
        <v>7672.0212683519067</v>
      </c>
    </row>
  </sheetData>
  <mergeCells count="7">
    <mergeCell ref="L14:M15"/>
    <mergeCell ref="B14:B15"/>
    <mergeCell ref="H14:H15"/>
    <mergeCell ref="F2:K2"/>
    <mergeCell ref="J14:J15"/>
    <mergeCell ref="I14:I15"/>
    <mergeCell ref="K14:K15"/>
  </mergeCells>
  <pageMargins left="0.7" right="0.7" top="0.75" bottom="0.75" header="0.3" footer="0.3"/>
  <pageSetup paperSize="9"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4" workbookViewId="0">
      <selection activeCell="B28" sqref="B28:F28"/>
    </sheetView>
  </sheetViews>
  <sheetFormatPr baseColWidth="10" defaultRowHeight="12"/>
  <cols>
    <col min="1" max="1" width="16.42578125" style="43" customWidth="1"/>
    <col min="2" max="5" width="11.42578125" style="43"/>
    <col min="12" max="16384" width="11.42578125" style="43"/>
  </cols>
  <sheetData>
    <row r="1" spans="1:13">
      <c r="H1" s="43"/>
      <c r="I1" s="43"/>
      <c r="J1" s="43"/>
      <c r="K1" s="43"/>
    </row>
    <row r="2" spans="1:13">
      <c r="A2" s="43" t="s">
        <v>114</v>
      </c>
      <c r="B2" s="154" t="s">
        <v>115</v>
      </c>
      <c r="C2" s="154"/>
      <c r="D2" s="154"/>
      <c r="E2" s="154"/>
      <c r="H2" s="43"/>
      <c r="I2" s="43"/>
      <c r="J2" s="43"/>
      <c r="K2" s="43"/>
    </row>
    <row r="3" spans="1:13">
      <c r="B3" s="154" t="s">
        <v>116</v>
      </c>
      <c r="C3" s="154"/>
      <c r="D3" s="154"/>
      <c r="E3" s="154"/>
      <c r="H3" s="43"/>
      <c r="I3" s="43"/>
      <c r="J3" s="43"/>
      <c r="K3" s="43"/>
    </row>
    <row r="4" spans="1:13">
      <c r="B4" s="154" t="s">
        <v>117</v>
      </c>
      <c r="C4" s="154"/>
      <c r="D4" s="154"/>
      <c r="E4" s="154"/>
      <c r="H4" s="43"/>
      <c r="I4" s="43"/>
      <c r="J4" s="43"/>
      <c r="K4" s="43"/>
      <c r="L4" s="43" t="s">
        <v>83</v>
      </c>
    </row>
    <row r="5" spans="1:13">
      <c r="B5" s="154" t="s">
        <v>122</v>
      </c>
      <c r="C5" s="154"/>
      <c r="D5" s="154"/>
      <c r="E5" s="154"/>
      <c r="H5" s="43"/>
      <c r="I5" s="43"/>
      <c r="J5" s="43"/>
      <c r="K5" s="43"/>
    </row>
    <row r="6" spans="1:13">
      <c r="B6" s="154" t="s">
        <v>123</v>
      </c>
      <c r="C6" s="154"/>
      <c r="D6" s="154"/>
      <c r="E6" s="154"/>
      <c r="H6" s="43"/>
      <c r="I6" s="43"/>
      <c r="J6" s="43"/>
      <c r="K6" s="43"/>
    </row>
    <row r="7" spans="1:13">
      <c r="B7" s="154" t="s">
        <v>1</v>
      </c>
      <c r="C7" s="154"/>
      <c r="D7" s="154"/>
      <c r="E7" s="154"/>
      <c r="H7" s="43"/>
      <c r="I7" s="43"/>
      <c r="J7" s="43"/>
      <c r="K7" s="43"/>
    </row>
    <row r="8" spans="1:13">
      <c r="B8" s="154" t="s">
        <v>0</v>
      </c>
      <c r="C8" s="154"/>
      <c r="D8" s="154"/>
      <c r="E8" s="154"/>
      <c r="H8" s="43"/>
      <c r="I8" s="43"/>
      <c r="J8" s="43"/>
      <c r="K8" s="43"/>
      <c r="M8" s="43" t="s">
        <v>137</v>
      </c>
    </row>
    <row r="9" spans="1:13">
      <c r="H9" s="43"/>
      <c r="I9" s="43"/>
      <c r="J9" s="43"/>
      <c r="K9" s="43"/>
    </row>
    <row r="10" spans="1:13">
      <c r="B10" s="154" t="s">
        <v>118</v>
      </c>
      <c r="C10" s="154"/>
      <c r="D10" s="154"/>
      <c r="E10" s="154"/>
      <c r="H10" s="43"/>
      <c r="I10" s="43"/>
      <c r="J10" s="43"/>
      <c r="K10" s="43" t="s">
        <v>106</v>
      </c>
    </row>
    <row r="11" spans="1:13">
      <c r="B11" s="154" t="s">
        <v>119</v>
      </c>
      <c r="C11" s="154"/>
      <c r="D11" s="154"/>
      <c r="E11" s="154"/>
      <c r="H11" s="43"/>
      <c r="I11" s="43"/>
      <c r="J11" s="43"/>
      <c r="K11" s="43"/>
    </row>
    <row r="12" spans="1:13">
      <c r="H12" s="43"/>
      <c r="I12" s="43"/>
      <c r="J12" s="43"/>
      <c r="K12" s="43"/>
    </row>
    <row r="13" spans="1:13">
      <c r="A13" s="43" t="s">
        <v>113</v>
      </c>
      <c r="B13" s="133" t="s">
        <v>4</v>
      </c>
      <c r="C13" s="129"/>
      <c r="D13" s="154" t="s">
        <v>9</v>
      </c>
      <c r="E13" s="154"/>
      <c r="F13" s="154"/>
      <c r="H13" s="43"/>
      <c r="I13" s="43"/>
      <c r="J13" s="43"/>
      <c r="K13" s="43"/>
    </row>
    <row r="14" spans="1:13">
      <c r="B14" s="133" t="s">
        <v>5</v>
      </c>
      <c r="C14" s="129"/>
      <c r="D14" s="154" t="s">
        <v>13</v>
      </c>
      <c r="E14" s="154"/>
      <c r="F14" s="154"/>
      <c r="H14" s="43"/>
      <c r="I14" s="43"/>
      <c r="J14" s="43"/>
      <c r="K14" s="43"/>
    </row>
    <row r="15" spans="1:13">
      <c r="B15" s="133" t="s">
        <v>6</v>
      </c>
      <c r="C15" s="129"/>
      <c r="D15" s="133" t="s">
        <v>26</v>
      </c>
      <c r="E15" s="133"/>
      <c r="F15" s="133"/>
      <c r="H15" s="43"/>
      <c r="I15" s="43"/>
      <c r="J15" s="43"/>
      <c r="K15" s="43"/>
    </row>
    <row r="16" spans="1:13">
      <c r="B16" s="133" t="s">
        <v>7</v>
      </c>
      <c r="C16" s="129"/>
      <c r="D16" s="154" t="s">
        <v>10</v>
      </c>
      <c r="E16" s="154"/>
      <c r="F16" s="154"/>
      <c r="H16" s="43"/>
      <c r="I16" s="43"/>
      <c r="J16" s="43"/>
      <c r="K16" s="43"/>
      <c r="L16" s="154" t="s">
        <v>110</v>
      </c>
      <c r="M16" s="154"/>
    </row>
    <row r="17" spans="1:14">
      <c r="B17" s="133" t="s">
        <v>8</v>
      </c>
      <c r="C17" s="129"/>
      <c r="D17" s="154" t="s">
        <v>11</v>
      </c>
      <c r="E17" s="154"/>
      <c r="F17" s="154"/>
      <c r="G17" s="154"/>
      <c r="H17" s="43"/>
      <c r="I17" s="43"/>
      <c r="J17" s="43"/>
      <c r="K17" s="43"/>
    </row>
    <row r="18" spans="1:14">
      <c r="D18" s="154" t="s">
        <v>12</v>
      </c>
      <c r="E18" s="154"/>
      <c r="F18" s="154"/>
      <c r="H18" s="43"/>
      <c r="I18" s="43"/>
      <c r="J18" s="43"/>
      <c r="K18" s="43"/>
    </row>
    <row r="19" spans="1:14">
      <c r="H19" s="43"/>
      <c r="I19" s="43"/>
      <c r="J19" s="43"/>
      <c r="K19" s="43"/>
    </row>
    <row r="20" spans="1:14">
      <c r="A20" s="43" t="s">
        <v>14</v>
      </c>
      <c r="B20" s="154" t="s">
        <v>15</v>
      </c>
      <c r="C20" s="154"/>
      <c r="D20" s="154"/>
      <c r="E20" s="154"/>
      <c r="F20" s="154"/>
      <c r="H20" s="43"/>
      <c r="I20" s="43"/>
      <c r="J20" s="43"/>
      <c r="M20" s="154" t="s">
        <v>108</v>
      </c>
      <c r="N20" s="154"/>
    </row>
    <row r="21" spans="1:14">
      <c r="B21" s="154" t="s">
        <v>27</v>
      </c>
      <c r="C21" s="154"/>
      <c r="D21" s="154"/>
      <c r="E21" s="154"/>
      <c r="F21" s="154"/>
      <c r="H21" s="43"/>
      <c r="I21" s="43"/>
      <c r="J21" s="43"/>
      <c r="K21" s="43"/>
    </row>
    <row r="22" spans="1:14">
      <c r="B22" s="154" t="s">
        <v>28</v>
      </c>
      <c r="C22" s="154"/>
      <c r="D22" s="154"/>
      <c r="E22" s="154"/>
      <c r="F22" s="154"/>
      <c r="H22" s="43"/>
      <c r="I22" s="43"/>
      <c r="J22" s="43"/>
      <c r="K22" s="43"/>
    </row>
    <row r="23" spans="1:14">
      <c r="B23" s="154" t="s">
        <v>29</v>
      </c>
      <c r="C23" s="154"/>
      <c r="D23" s="154"/>
      <c r="E23" s="154"/>
      <c r="F23" s="154"/>
      <c r="G23" s="154"/>
      <c r="H23" s="43"/>
      <c r="I23" s="43"/>
      <c r="J23" s="43"/>
      <c r="K23" s="43"/>
    </row>
    <row r="24" spans="1:14">
      <c r="B24" s="154" t="s">
        <v>16</v>
      </c>
      <c r="C24" s="154"/>
      <c r="D24" s="154"/>
      <c r="E24" s="154"/>
      <c r="F24" s="154"/>
      <c r="H24" s="43"/>
      <c r="I24" s="43"/>
      <c r="J24" s="43"/>
      <c r="K24" s="43"/>
    </row>
    <row r="25" spans="1:14">
      <c r="H25" s="43"/>
      <c r="I25" s="43"/>
      <c r="J25" s="43"/>
      <c r="K25" s="43"/>
    </row>
    <row r="26" spans="1:14">
      <c r="H26" s="43"/>
      <c r="I26" s="43"/>
      <c r="J26" s="43"/>
      <c r="M26" s="154" t="s">
        <v>2</v>
      </c>
      <c r="N26" s="154"/>
    </row>
    <row r="27" spans="1:14">
      <c r="A27" s="43" t="s">
        <v>17</v>
      </c>
      <c r="B27" s="154" t="s">
        <v>18</v>
      </c>
      <c r="C27" s="154"/>
      <c r="D27" s="154"/>
      <c r="E27" s="154"/>
      <c r="F27" s="154"/>
      <c r="H27" s="43"/>
      <c r="I27" s="43"/>
      <c r="J27" s="43"/>
      <c r="K27" s="43"/>
    </row>
    <row r="28" spans="1:14">
      <c r="B28" s="155" t="s">
        <v>30</v>
      </c>
      <c r="C28" s="155"/>
      <c r="D28" s="155"/>
      <c r="E28" s="155"/>
      <c r="F28" s="155"/>
      <c r="H28" s="43"/>
      <c r="I28" s="43"/>
      <c r="J28" s="43"/>
      <c r="K28" s="43"/>
    </row>
    <row r="29" spans="1:14">
      <c r="H29" s="43"/>
      <c r="I29" s="43"/>
      <c r="J29" s="43"/>
      <c r="K29" s="43"/>
    </row>
    <row r="30" spans="1:14">
      <c r="H30" s="43"/>
      <c r="I30" s="43"/>
      <c r="J30" s="43"/>
      <c r="K30" s="43"/>
    </row>
    <row r="31" spans="1:14">
      <c r="A31" s="43" t="s">
        <v>20</v>
      </c>
      <c r="B31" s="154" t="s">
        <v>21</v>
      </c>
      <c r="C31" s="154"/>
      <c r="D31" s="154"/>
      <c r="E31" s="154"/>
      <c r="F31" s="154"/>
      <c r="H31" s="43"/>
      <c r="I31" s="43"/>
      <c r="J31" s="43"/>
      <c r="K31" s="43"/>
    </row>
    <row r="32" spans="1:14">
      <c r="B32" s="154" t="s">
        <v>22</v>
      </c>
      <c r="C32" s="154"/>
      <c r="D32" s="154"/>
      <c r="E32" s="154"/>
      <c r="F32" s="154"/>
      <c r="H32" s="43"/>
      <c r="I32" s="43"/>
      <c r="J32" s="43"/>
      <c r="L32" s="43" t="s">
        <v>107</v>
      </c>
    </row>
    <row r="33" spans="2:11">
      <c r="B33" s="154" t="s">
        <v>23</v>
      </c>
      <c r="C33" s="154"/>
      <c r="D33" s="154"/>
      <c r="E33" s="154"/>
      <c r="F33" s="154"/>
      <c r="H33" s="43"/>
      <c r="I33" s="43"/>
      <c r="J33" s="43"/>
      <c r="K33" s="43"/>
    </row>
    <row r="34" spans="2:11">
      <c r="B34" s="154" t="s">
        <v>25</v>
      </c>
      <c r="C34" s="154"/>
      <c r="D34" s="154"/>
      <c r="E34" s="154"/>
      <c r="F34" s="154"/>
      <c r="H34" s="43"/>
      <c r="I34" s="43"/>
      <c r="J34" s="43"/>
      <c r="K34" s="43"/>
    </row>
    <row r="35" spans="2:11">
      <c r="B35" s="154" t="s">
        <v>24</v>
      </c>
      <c r="C35" s="154"/>
      <c r="D35" s="154"/>
      <c r="E35" s="154"/>
      <c r="F35" s="154"/>
      <c r="H35" s="43"/>
      <c r="I35" s="43"/>
      <c r="J35" s="43"/>
      <c r="K35" s="43"/>
    </row>
    <row r="36" spans="2:11">
      <c r="H36" s="43"/>
      <c r="I36" s="43"/>
      <c r="J36" s="43"/>
      <c r="K36" s="43"/>
    </row>
    <row r="37" spans="2:11">
      <c r="H37" s="43"/>
      <c r="I37" s="43"/>
      <c r="J37" s="43"/>
      <c r="K37" s="43"/>
    </row>
    <row r="38" spans="2:11">
      <c r="H38" s="43"/>
      <c r="I38" s="43"/>
      <c r="J38" s="43"/>
      <c r="K38" s="43"/>
    </row>
    <row r="39" spans="2:11">
      <c r="H39" s="43"/>
      <c r="I39" s="43"/>
      <c r="J39" s="43"/>
      <c r="K39" s="43"/>
    </row>
    <row r="40" spans="2:11">
      <c r="H40" s="43"/>
      <c r="I40" s="43"/>
      <c r="J40" s="43"/>
      <c r="K40" s="43"/>
    </row>
    <row r="41" spans="2:11">
      <c r="H41" s="43"/>
      <c r="I41" s="43"/>
      <c r="J41" s="43"/>
      <c r="K41" s="43"/>
    </row>
    <row r="42" spans="2:11" ht="18">
      <c r="H42" s="157" t="s">
        <v>109</v>
      </c>
      <c r="I42" s="157"/>
      <c r="J42" s="157"/>
      <c r="K42" s="157"/>
    </row>
    <row r="43" spans="2:11">
      <c r="H43" s="156" t="s">
        <v>3</v>
      </c>
      <c r="I43" s="156"/>
      <c r="J43" s="156"/>
      <c r="K43" s="156"/>
    </row>
  </sheetData>
  <mergeCells count="37">
    <mergeCell ref="B2:E2"/>
    <mergeCell ref="B3:E3"/>
    <mergeCell ref="B4:E4"/>
    <mergeCell ref="B10:E10"/>
    <mergeCell ref="B11:E11"/>
    <mergeCell ref="B5:E5"/>
    <mergeCell ref="B6:E6"/>
    <mergeCell ref="B7:E7"/>
    <mergeCell ref="B8:E8"/>
    <mergeCell ref="M26:N26"/>
    <mergeCell ref="H43:K43"/>
    <mergeCell ref="B13:C13"/>
    <mergeCell ref="B14:C14"/>
    <mergeCell ref="B15:C15"/>
    <mergeCell ref="B16:C16"/>
    <mergeCell ref="B17:C17"/>
    <mergeCell ref="B34:F34"/>
    <mergeCell ref="M20:N20"/>
    <mergeCell ref="H42:K42"/>
    <mergeCell ref="L16:M16"/>
    <mergeCell ref="D13:F13"/>
    <mergeCell ref="D17:G17"/>
    <mergeCell ref="D16:F16"/>
    <mergeCell ref="D18:F18"/>
    <mergeCell ref="B20:F20"/>
    <mergeCell ref="B33:F33"/>
    <mergeCell ref="B22:F22"/>
    <mergeCell ref="D14:F14"/>
    <mergeCell ref="D15:F15"/>
    <mergeCell ref="B35:F35"/>
    <mergeCell ref="B23:G23"/>
    <mergeCell ref="B24:F24"/>
    <mergeCell ref="B27:F27"/>
    <mergeCell ref="B28:F28"/>
    <mergeCell ref="B31:F31"/>
    <mergeCell ref="B32:F32"/>
    <mergeCell ref="B21:F21"/>
  </mergeCells>
  <phoneticPr fontId="0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activeCell="B12" sqref="B12"/>
    </sheetView>
  </sheetViews>
  <sheetFormatPr baseColWidth="10" defaultRowHeight="12"/>
  <cols>
    <col min="1" max="1" width="13.28515625" customWidth="1"/>
    <col min="2" max="2" width="12.140625" bestFit="1" customWidth="1"/>
    <col min="3" max="3" width="12" bestFit="1" customWidth="1"/>
  </cols>
  <sheetData>
    <row r="2" spans="1:3">
      <c r="A2" t="s">
        <v>58</v>
      </c>
      <c r="B2">
        <v>350</v>
      </c>
      <c r="C2" t="s">
        <v>53</v>
      </c>
    </row>
    <row r="3" spans="1:3">
      <c r="A3" t="s">
        <v>59</v>
      </c>
      <c r="B3">
        <v>17</v>
      </c>
      <c r="C3" t="s">
        <v>34</v>
      </c>
    </row>
    <row r="4" spans="1:3">
      <c r="A4" t="s">
        <v>60</v>
      </c>
      <c r="B4">
        <v>200</v>
      </c>
      <c r="C4" t="s">
        <v>34</v>
      </c>
    </row>
    <row r="5" spans="1:3">
      <c r="A5" t="s">
        <v>61</v>
      </c>
      <c r="B5">
        <v>2621</v>
      </c>
      <c r="C5" t="s">
        <v>62</v>
      </c>
    </row>
    <row r="7" spans="1:3">
      <c r="A7" t="s">
        <v>63</v>
      </c>
      <c r="B7" s="46">
        <f>$B$2/($B$4-$B$3)/$B$5</f>
        <v>7.2970938802400945E-4</v>
      </c>
      <c r="C7" t="s">
        <v>64</v>
      </c>
    </row>
    <row r="9" spans="1:3">
      <c r="A9" t="s">
        <v>67</v>
      </c>
      <c r="B9">
        <v>17</v>
      </c>
      <c r="C9" t="s">
        <v>34</v>
      </c>
    </row>
    <row r="10" spans="1:3">
      <c r="A10" t="s">
        <v>68</v>
      </c>
      <c r="B10">
        <v>200</v>
      </c>
      <c r="C10" t="s">
        <v>34</v>
      </c>
    </row>
    <row r="11" spans="1:3">
      <c r="B11" s="3"/>
    </row>
    <row r="12" spans="1:3">
      <c r="A12" t="s">
        <v>69</v>
      </c>
      <c r="B12" s="12">
        <f>$B$7*($B$10-$B$9)</f>
        <v>0.13353681800839373</v>
      </c>
      <c r="C12" t="s">
        <v>70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Calculs mirroir</vt:lpstr>
      <vt:lpstr>Calculs lentille</vt:lpstr>
      <vt:lpstr>MDP</vt:lpstr>
      <vt:lpstr>notes</vt:lpstr>
      <vt:lpstr>bruit interne</vt:lpstr>
    </vt:vector>
  </TitlesOfParts>
  <Company>CEA/SAp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sensibilité Simbol-X</dc:title>
  <dc:creator>Philippe Laurent</dc:creator>
  <cp:lastModifiedBy>Laurent Philippe</cp:lastModifiedBy>
  <cp:lastPrinted>2005-06-01T15:17:13Z</cp:lastPrinted>
  <dcterms:created xsi:type="dcterms:W3CDTF">2002-03-10T23:10:28Z</dcterms:created>
  <dcterms:modified xsi:type="dcterms:W3CDTF">2025-05-20T14:37:10Z</dcterms:modified>
</cp:coreProperties>
</file>