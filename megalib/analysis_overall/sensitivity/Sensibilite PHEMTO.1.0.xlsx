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s mirroir" sheetId="1" state="visible" r:id="rId3"/>
    <sheet name="Calculs lentille" sheetId="2" state="visible" r:id="rId4"/>
    <sheet name="MDP" sheetId="3" state="visible" r:id="rId5"/>
    <sheet name="notes" sheetId="4" state="visible" r:id="rId6"/>
    <sheet name="bruit inter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<sst xmlns="http://schemas.openxmlformats.org/spreadsheetml/2006/main" count="332" uniqueCount="174">
  <si>
    <t xml:space="preserve">voir la feuille "notes" pour les commentaires</t>
  </si>
  <si>
    <t xml:space="preserve">SENSIBILITE/BRUIT DE FOND PHEMTO</t>
  </si>
  <si>
    <t xml:space="preserve">version 1.0</t>
  </si>
  <si>
    <t xml:space="preserve">densité Pb</t>
  </si>
  <si>
    <t xml:space="preserve">g/cm3</t>
  </si>
  <si>
    <t xml:space="preserve">hauteur collimateur</t>
  </si>
  <si>
    <t xml:space="preserve">cm</t>
  </si>
  <si>
    <t xml:space="preserve">densité Si</t>
  </si>
  <si>
    <t xml:space="preserve">diamètre intégration</t>
  </si>
  <si>
    <t xml:space="preserve">arcsec</t>
  </si>
  <si>
    <r>
      <rPr>
        <sz val="9"/>
        <rFont val="Symbol"/>
        <family val="1"/>
        <charset val="1"/>
      </rPr>
      <t xml:space="preserve">D</t>
    </r>
    <r>
      <rPr>
        <sz val="9"/>
        <rFont val="Arial"/>
        <family val="2"/>
        <charset val="1"/>
      </rPr>
      <t xml:space="preserve">E/E</t>
    </r>
  </si>
  <si>
    <t xml:space="preserve">erg/s/cm2</t>
  </si>
  <si>
    <t xml:space="preserve">densité Ta</t>
  </si>
  <si>
    <t xml:space="preserve">rayon collimateur</t>
  </si>
  <si>
    <t xml:space="preserve">densité CdTe</t>
  </si>
  <si>
    <t xml:space="preserve">% photons/tache</t>
  </si>
  <si>
    <t xml:space="preserve">%</t>
  </si>
  <si>
    <t xml:space="preserve">S/N</t>
  </si>
  <si>
    <t xml:space="preserve">3-10 keV</t>
  </si>
  <si>
    <t xml:space="preserve">ép. collimateur</t>
  </si>
  <si>
    <t xml:space="preserve">rayon jupe</t>
  </si>
  <si>
    <t xml:space="preserve">épaisseur Si</t>
  </si>
  <si>
    <t xml:space="preserve">distance focale</t>
  </si>
  <si>
    <t xml:space="preserve">Tobs (s)</t>
  </si>
  <si>
    <t xml:space="preserve">10-20 keV</t>
  </si>
  <si>
    <t xml:space="preserve">épaisseur jupe</t>
  </si>
  <si>
    <t xml:space="preserve">épaisseur CdTe</t>
  </si>
  <si>
    <t xml:space="preserve">rayon miroir</t>
  </si>
  <si>
    <t xml:space="preserve">(voir note 3)</t>
  </si>
  <si>
    <t xml:space="preserve">20-40 keV</t>
  </si>
  <si>
    <r>
      <rPr>
        <sz val="9"/>
        <rFont val="Symbol"/>
        <family val="1"/>
        <charset val="1"/>
      </rPr>
      <t xml:space="preserve">W</t>
    </r>
    <r>
      <rPr>
        <sz val="9"/>
        <rFont val="Arial"/>
        <family val="2"/>
        <charset val="1"/>
      </rPr>
      <t xml:space="preserve"> mirroir</t>
    </r>
  </si>
  <si>
    <t xml:space="preserve">stéradian</t>
  </si>
  <si>
    <t xml:space="preserve">taille pixels</t>
  </si>
  <si>
    <t xml:space="preserve">(voir note 2)</t>
  </si>
  <si>
    <t xml:space="preserve">40-80 keV</t>
  </si>
  <si>
    <r>
      <rPr>
        <sz val="9"/>
        <rFont val="Symbol"/>
        <family val="1"/>
        <charset val="1"/>
      </rPr>
      <t xml:space="preserve">W</t>
    </r>
    <r>
      <rPr>
        <sz val="9"/>
        <rFont val="Arial"/>
        <family val="2"/>
        <charset val="1"/>
      </rPr>
      <t xml:space="preserve"> jupe</t>
    </r>
  </si>
  <si>
    <t xml:space="preserve">rayon focal</t>
  </si>
  <si>
    <t xml:space="preserve">3-80 keV</t>
  </si>
  <si>
    <r>
      <rPr>
        <sz val="9"/>
        <rFont val="Symbol"/>
        <family val="1"/>
        <charset val="1"/>
      </rPr>
      <t xml:space="preserve">W</t>
    </r>
    <r>
      <rPr>
        <sz val="9"/>
        <rFont val="Arial"/>
        <family val="2"/>
        <charset val="1"/>
      </rPr>
      <t xml:space="preserve"> collimateur</t>
    </r>
  </si>
  <si>
    <t xml:space="preserve">poids collimateur</t>
  </si>
  <si>
    <t xml:space="preserve">kg</t>
  </si>
  <si>
    <t xml:space="preserve">tache focale</t>
  </si>
  <si>
    <t xml:space="preserve">cm²</t>
  </si>
  <si>
    <r>
      <rPr>
        <sz val="9"/>
        <rFont val="Symbol"/>
        <family val="1"/>
        <charset val="1"/>
      </rPr>
      <t xml:space="preserve">W </t>
    </r>
    <r>
      <rPr>
        <sz val="9"/>
        <rFont val="Arial"/>
        <family val="2"/>
        <charset val="1"/>
      </rPr>
      <t xml:space="preserve">protégé collimateur</t>
    </r>
  </si>
  <si>
    <r>
      <rPr>
        <sz val="9"/>
        <rFont val="Arial"/>
        <family val="2"/>
        <charset val="1"/>
      </rPr>
      <t xml:space="preserve">(voir note 1 pour le calcul des </t>
    </r>
    <r>
      <rPr>
        <sz val="9"/>
        <rFont val="Symbol"/>
        <family val="1"/>
        <charset val="1"/>
      </rPr>
      <t xml:space="preserve">W</t>
    </r>
    <r>
      <rPr>
        <sz val="9"/>
        <rFont val="Arial"/>
        <family val="2"/>
        <charset val="1"/>
      </rPr>
      <t xml:space="preserve">)</t>
    </r>
  </si>
  <si>
    <t xml:space="preserve">poids jupe</t>
  </si>
  <si>
    <t xml:space="preserve">nb pixels/tache</t>
  </si>
  <si>
    <r>
      <rPr>
        <sz val="9"/>
        <rFont val="Symbol"/>
        <family val="1"/>
        <charset val="1"/>
      </rPr>
      <t xml:space="preserve">W</t>
    </r>
    <r>
      <rPr>
        <sz val="9"/>
        <rFont val="Arial"/>
        <family val="2"/>
        <charset val="1"/>
      </rPr>
      <t xml:space="preserve"> non protégé</t>
    </r>
  </si>
  <si>
    <t xml:space="preserve">poids total shield</t>
  </si>
  <si>
    <t xml:space="preserve">Energie</t>
  </si>
  <si>
    <t xml:space="preserve">Surface  mirroir</t>
  </si>
  <si>
    <t xml:space="preserve">Section efficace Ta</t>
  </si>
  <si>
    <t xml:space="preserve">Section efficace Pb</t>
  </si>
  <si>
    <t xml:space="preserve">fraction transmise collimateur</t>
  </si>
  <si>
    <t xml:space="preserve">fraction transmise jupe</t>
  </si>
  <si>
    <t xml:space="preserve">Section efficace Si</t>
  </si>
  <si>
    <t xml:space="preserve">Section efficace CdTe</t>
  </si>
  <si>
    <t xml:space="preserve">efficacité détecteur</t>
  </si>
  <si>
    <t xml:space="preserve">Fond diffus</t>
  </si>
  <si>
    <t xml:space="preserve">Bruit diffus</t>
  </si>
  <si>
    <t xml:space="preserve">Bruit interne</t>
  </si>
  <si>
    <t xml:space="preserve">Bruit total</t>
  </si>
  <si>
    <t xml:space="preserve">Sensibilité</t>
  </si>
  <si>
    <t xml:space="preserve">keV</t>
  </si>
  <si>
    <t xml:space="preserve">cm2</t>
  </si>
  <si>
    <t xml:space="preserve">(cm2/g)</t>
  </si>
  <si>
    <t xml:space="preserve">ph/s/cm2/keV/str</t>
  </si>
  <si>
    <t xml:space="preserve">Cts/s/keV</t>
  </si>
  <si>
    <t xml:space="preserve">ph/s/keV/cm2</t>
  </si>
  <si>
    <t xml:space="preserve">total bruit diffus</t>
  </si>
  <si>
    <t xml:space="preserve">cps/s</t>
  </si>
  <si>
    <t xml:space="preserve">bruit interne /ISGRI</t>
  </si>
  <si>
    <t xml:space="preserve">cps/s/cm2</t>
  </si>
  <si>
    <t xml:space="preserve">total bruit interne</t>
  </si>
  <si>
    <t xml:space="preserve">bruit interne /ISGRI/tache focale</t>
  </si>
  <si>
    <t xml:space="preserve">total bruit</t>
  </si>
  <si>
    <t xml:space="preserve">pondération proposée</t>
  </si>
  <si>
    <t xml:space="preserve">pondération choisie</t>
  </si>
  <si>
    <t xml:space="preserve">(voir note 4)</t>
  </si>
  <si>
    <t xml:space="preserve">Surface </t>
  </si>
  <si>
    <t xml:space="preserve">Section</t>
  </si>
  <si>
    <t xml:space="preserve">fraction</t>
  </si>
  <si>
    <t xml:space="preserve">efficacité</t>
  </si>
  <si>
    <t xml:space="preserve">mirroir</t>
  </si>
  <si>
    <t xml:space="preserve">efficace Ta</t>
  </si>
  <si>
    <t xml:space="preserve">efficace Pb</t>
  </si>
  <si>
    <t xml:space="preserve">transmise collimateur</t>
  </si>
  <si>
    <t xml:space="preserve">transmise jupe</t>
  </si>
  <si>
    <t xml:space="preserve">efficace Si</t>
  </si>
  <si>
    <t xml:space="preserve">efficace Cd</t>
  </si>
  <si>
    <t xml:space="preserve">détecteur</t>
  </si>
  <si>
    <t xml:space="preserve">MDP (LENTILLE)</t>
  </si>
  <si>
    <t xml:space="preserve">Tobs</t>
  </si>
  <si>
    <t xml:space="preserve">s</t>
  </si>
  <si>
    <t xml:space="preserve">Fluence</t>
  </si>
  <si>
    <t xml:space="preserve">erg/cm2/s</t>
  </si>
  <si>
    <t xml:space="preserve">energy band</t>
  </si>
  <si>
    <t xml:space="preserve">Mean Energy</t>
  </si>
  <si>
    <t xml:space="preserve">Crabe fluence </t>
  </si>
  <si>
    <t xml:space="preserve">mean mu_100</t>
  </si>
  <si>
    <t xml:space="preserve">Crab MDP</t>
  </si>
  <si>
    <t xml:space="preserve">Source MDP</t>
  </si>
  <si>
    <t xml:space="preserve">40-50 keV</t>
  </si>
  <si>
    <t xml:space="preserve">50-76 keV</t>
  </si>
  <si>
    <t xml:space="preserve">76-102 keV</t>
  </si>
  <si>
    <t xml:space="preserve">Crabe</t>
  </si>
  <si>
    <t xml:space="preserve">Crabe total</t>
  </si>
  <si>
    <t xml:space="preserve">MDP</t>
  </si>
  <si>
    <t xml:space="preserve">102-154 keV</t>
  </si>
  <si>
    <t xml:space="preserve">Compton</t>
  </si>
  <si>
    <t xml:space="preserve">154-206 keV</t>
  </si>
  <si>
    <t xml:space="preserve">ph/s/cm2/keV</t>
  </si>
  <si>
    <t xml:space="preserve">Cts/s</t>
  </si>
  <si>
    <t xml:space="preserve">mu_100</t>
  </si>
  <si>
    <t xml:space="preserve">MDP (%)</t>
  </si>
  <si>
    <t xml:space="preserve">206-258 keV</t>
  </si>
  <si>
    <t xml:space="preserve">258-310 keV</t>
  </si>
  <si>
    <t xml:space="preserve">310-362 keV</t>
  </si>
  <si>
    <t xml:space="preserve">362-414 keV</t>
  </si>
  <si>
    <t xml:space="preserve">note générale :</t>
  </si>
  <si>
    <t xml:space="preserve">la sensibilité est calculée en prenant en compte</t>
  </si>
  <si>
    <t xml:space="preserve"> l'efficacité des détecteurs, la collimation par le plomb et</t>
  </si>
  <si>
    <t xml:space="preserve">le tantale, le bruit interne dans la tache focale.</t>
  </si>
  <si>
    <t xml:space="preserve">Le fond diffus est donné par :</t>
  </si>
  <si>
    <t xml:space="preserve">min(167*E^-2.38;11,6*E^-1,41 ph/cm2/s/keV/str)</t>
  </si>
  <si>
    <t xml:space="preserve">Le bruit interne est calculé à partir d'Armstrong et al. 99</t>
  </si>
  <si>
    <t xml:space="preserve">et recalé sur les données Integral/IBIS/ISGRI (voir note 4)</t>
  </si>
  <si>
    <t xml:space="preserve">lentille</t>
  </si>
  <si>
    <t xml:space="preserve">Les valeurs modifiables sont entourées d'un cadre bleu;</t>
  </si>
  <si>
    <t xml:space="preserve">satellite 2</t>
  </si>
  <si>
    <t xml:space="preserve">Les résultats de calcul sont en rouge sur fond jaune.</t>
  </si>
  <si>
    <t xml:space="preserve">note 1 : </t>
  </si>
  <si>
    <r>
      <rPr>
        <sz val="9"/>
        <rFont val="Symbol"/>
        <family val="1"/>
        <charset val="1"/>
      </rPr>
      <t xml:space="preserve">W</t>
    </r>
    <r>
      <rPr>
        <sz val="9"/>
        <rFont val="Arial"/>
        <family val="2"/>
        <charset val="1"/>
      </rPr>
      <t xml:space="preserve"> mirroir : </t>
    </r>
  </si>
  <si>
    <t xml:space="preserve">champ de vue du mirroir</t>
  </si>
  <si>
    <r>
      <rPr>
        <sz val="9"/>
        <rFont val="Symbol"/>
        <family val="1"/>
        <charset val="1"/>
      </rPr>
      <t xml:space="preserve">W</t>
    </r>
    <r>
      <rPr>
        <sz val="9"/>
        <rFont val="Arial"/>
        <family val="2"/>
        <charset val="1"/>
      </rPr>
      <t xml:space="preserve"> jupe : </t>
    </r>
  </si>
  <si>
    <t xml:space="preserve">champ protégé par la jupe</t>
  </si>
  <si>
    <r>
      <rPr>
        <sz val="9"/>
        <rFont val="Symbol"/>
        <family val="1"/>
        <charset val="1"/>
      </rPr>
      <t xml:space="preserve">W</t>
    </r>
    <r>
      <rPr>
        <sz val="9"/>
        <rFont val="Arial"/>
        <family val="2"/>
        <charset val="1"/>
      </rPr>
      <t xml:space="preserve"> collimateur : </t>
    </r>
  </si>
  <si>
    <r>
      <rPr>
        <sz val="9"/>
        <rFont val="Symbol"/>
        <family val="1"/>
        <charset val="1"/>
      </rPr>
      <t xml:space="preserve">2*p - (W </t>
    </r>
    <r>
      <rPr>
        <sz val="9"/>
        <rFont val="Arial"/>
        <family val="2"/>
        <charset val="1"/>
      </rPr>
      <t xml:space="preserve">protégé collimateur)</t>
    </r>
  </si>
  <si>
    <r>
      <rPr>
        <sz val="9"/>
        <rFont val="Symbol"/>
        <family val="1"/>
        <charset val="1"/>
      </rPr>
      <t xml:space="preserve">W </t>
    </r>
    <r>
      <rPr>
        <sz val="9"/>
        <rFont val="Arial"/>
        <family val="2"/>
        <charset val="1"/>
      </rPr>
      <t xml:space="preserve">protégé collimateur : </t>
    </r>
  </si>
  <si>
    <t xml:space="preserve">champ protégé par le collimateur</t>
  </si>
  <si>
    <t xml:space="preserve">jupe en tantale</t>
  </si>
  <si>
    <r>
      <rPr>
        <sz val="9"/>
        <rFont val="Symbol"/>
        <family val="1"/>
        <charset val="1"/>
      </rPr>
      <t xml:space="preserve">W</t>
    </r>
    <r>
      <rPr>
        <sz val="9"/>
        <rFont val="Arial"/>
        <family val="2"/>
        <charset val="1"/>
      </rPr>
      <t xml:space="preserve"> non protégé : </t>
    </r>
  </si>
  <si>
    <t xml:space="preserve">champ non protégé par la jupe ou le collimateur</t>
  </si>
  <si>
    <t xml:space="preserve">(devrait être zéro)</t>
  </si>
  <si>
    <t xml:space="preserve">note 2 :</t>
  </si>
  <si>
    <t xml:space="preserve">le diamètre d'intégration est le diamètre de la tache où l'on</t>
  </si>
  <si>
    <t xml:space="preserve">collimateur en plomb</t>
  </si>
  <si>
    <t xml:space="preserve">compte le nombre de photons provenant de la source pour construire</t>
  </si>
  <si>
    <t xml:space="preserve">l'image. Le pourcentage de photons par tache est le pourcentage de </t>
  </si>
  <si>
    <t xml:space="preserve">photons de la source se trouvant effectivement dans le diamètre d'intégration.</t>
  </si>
  <si>
    <t xml:space="preserve">(valeur à étalonner en fonction des propriétés du mirroir)</t>
  </si>
  <si>
    <t xml:space="preserve">détecteurs SDD et CdTe</t>
  </si>
  <si>
    <t xml:space="preserve">note 3 : </t>
  </si>
  <si>
    <t xml:space="preserve">La sensibilité est calculée à S/N sigmas, en tobs secondes, pour</t>
  </si>
  <si>
    <r>
      <rPr>
        <sz val="9"/>
        <rFont val="Symbol"/>
        <family val="1"/>
        <charset val="1"/>
      </rPr>
      <t xml:space="preserve">D</t>
    </r>
    <r>
      <rPr>
        <sz val="9"/>
        <rFont val="Geneva"/>
        <family val="0"/>
        <charset val="1"/>
      </rPr>
      <t xml:space="preserve">E/E égal à </t>
    </r>
    <r>
      <rPr>
        <sz val="9"/>
        <rFont val="Symbol"/>
        <family val="1"/>
        <charset val="1"/>
      </rPr>
      <t xml:space="preserve">D</t>
    </r>
    <r>
      <rPr>
        <sz val="9"/>
        <rFont val="Geneva"/>
        <family val="0"/>
        <charset val="1"/>
      </rPr>
      <t xml:space="preserve">E/E.</t>
    </r>
  </si>
  <si>
    <t xml:space="preserve">note 4 : </t>
  </si>
  <si>
    <t xml:space="preserve">Le bruit interne peut être recalé sur le bruit ISGRI (voir feuille bruit interne)</t>
  </si>
  <si>
    <t xml:space="preserve">Si la pondération est égale à 1, on obtient le bruit d'Armstrong et al. 99. </t>
  </si>
  <si>
    <t xml:space="preserve">satellite 1</t>
  </si>
  <si>
    <t xml:space="preserve">Si on choisit la pondération proposée, le bruit interne total est </t>
  </si>
  <si>
    <t xml:space="preserve">équivalent à celui d'ISGRI (en supposant un spectre ISGRI</t>
  </si>
  <si>
    <t xml:space="preserve">identique à celui d'Armstrong).</t>
  </si>
  <si>
    <t xml:space="preserve">CONFIGURATION UTILISEE</t>
  </si>
  <si>
    <t xml:space="preserve">(échelle non représentative)</t>
  </si>
  <si>
    <t xml:space="preserve">bruit ISGRI : </t>
  </si>
  <si>
    <t xml:space="preserve">Emin :</t>
  </si>
  <si>
    <t xml:space="preserve">Emax :</t>
  </si>
  <si>
    <t xml:space="preserve">surface ISGRI : </t>
  </si>
  <si>
    <t xml:space="preserve">bruit interne : </t>
  </si>
  <si>
    <t xml:space="preserve">cps/s/cm²/keV</t>
  </si>
  <si>
    <t xml:space="preserve">Emin CdTe</t>
  </si>
  <si>
    <t xml:space="preserve">Emax CdTe</t>
  </si>
  <si>
    <t xml:space="preserve">bruit interne</t>
  </si>
  <si>
    <t xml:space="preserve">cps/s/cm²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</si>
</sst>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E+00"/>
    <numFmt numFmtId="166" formatCode="0.00"/>
    <numFmt numFmtId="167" formatCode="0.0000"/>
    <numFmt numFmtId="168" formatCode="General"/>
    <numFmt numFmtId="169" formatCode="0.00000"/>
    <numFmt numFmtId="170" formatCode="0.000"/>
    <numFmt numFmtId="171" formatCode="0.0000E+00"/>
    <numFmt numFmtId="172" formatCode="0.000E+00"/>
    <numFmt numFmtId="173" formatCode="0.000000"/>
  </numFmts>
  <fonts count="22">
    <font>
      <sz val="9"/>
      <name val="Genev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sz val="14"/>
      <color rgb="FFDD0806"/>
      <name val="Arial"/>
      <family val="2"/>
      <charset val="1"/>
    </font>
    <font>
      <b val="true"/>
      <sz val="9"/>
      <name val="Arial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sz val="9"/>
      <name val="Symbol"/>
      <family val="1"/>
      <charset val="1"/>
    </font>
    <font>
      <b val="true"/>
      <sz val="9"/>
      <color rgb="FFFF0000"/>
      <name val="Geneva"/>
      <family val="0"/>
      <charset val="1"/>
    </font>
    <font>
      <b val="true"/>
      <sz val="9"/>
      <color rgb="FFDD0806"/>
      <name val="Arial"/>
      <family val="2"/>
      <charset val="1"/>
    </font>
    <font>
      <sz val="9"/>
      <color rgb="FFFF0000"/>
      <name val="Arial"/>
      <family val="2"/>
      <charset val="1"/>
    </font>
    <font>
      <sz val="9"/>
      <color rgb="FFFF0000"/>
      <name val="Geneva"/>
      <family val="0"/>
      <charset val="1"/>
    </font>
    <font>
      <b val="true"/>
      <sz val="12"/>
      <color rgb="FF000000"/>
      <name val="Arial"/>
      <family val="2"/>
    </font>
    <font>
      <sz val="9.5"/>
      <color rgb="FF000000"/>
      <name val="Arial"/>
      <family val="2"/>
    </font>
    <font>
      <b val="true"/>
      <sz val="9"/>
      <color rgb="FF000000"/>
      <name val="Arial"/>
      <family val="2"/>
    </font>
    <font>
      <sz val="9"/>
      <color rgb="FF00B050"/>
      <name val="Arial"/>
      <family val="2"/>
      <charset val="1"/>
    </font>
    <font>
      <b val="true"/>
      <sz val="9"/>
      <color rgb="FFFF0000"/>
      <name val="Arial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4"/>
      <color rgb="FF0000D4"/>
      <name val="Genev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CF305"/>
      </patternFill>
    </fill>
    <fill>
      <patternFill patternType="solid">
        <fgColor rgb="FFFCF305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00A933"/>
        <bgColor rgb="FF00B050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thick">
        <color rgb="FF0000D4"/>
      </left>
      <right/>
      <top style="thick">
        <color rgb="FF0000D4"/>
      </top>
      <bottom/>
      <diagonal/>
    </border>
    <border diagonalUp="false" diagonalDown="false">
      <left/>
      <right/>
      <top style="thick">
        <color rgb="FF0000D4"/>
      </top>
      <bottom/>
      <diagonal/>
    </border>
    <border diagonalUp="false" diagonalDown="false">
      <left/>
      <right style="thick">
        <color rgb="FF0000D4"/>
      </right>
      <top style="thick">
        <color rgb="FF0000D4"/>
      </top>
      <bottom/>
      <diagonal/>
    </border>
    <border diagonalUp="false" diagonalDown="false">
      <left/>
      <right style="thick">
        <color rgb="FF0000D4"/>
      </right>
      <top/>
      <bottom/>
      <diagonal/>
    </border>
    <border diagonalUp="false" diagonalDown="false">
      <left style="thick">
        <color rgb="FF0000D4"/>
      </left>
      <right/>
      <top/>
      <bottom/>
      <diagonal/>
    </border>
    <border diagonalUp="false" diagonalDown="false">
      <left style="thick">
        <color rgb="FF0000D4"/>
      </left>
      <right/>
      <top/>
      <bottom style="thick">
        <color rgb="FF0000D4"/>
      </bottom>
      <diagonal/>
    </border>
    <border diagonalUp="false" diagonalDown="false">
      <left/>
      <right/>
      <top/>
      <bottom style="thick">
        <color rgb="FF0000D4"/>
      </bottom>
      <diagonal/>
    </border>
    <border diagonalUp="false" diagonalDown="false">
      <left/>
      <right style="thick">
        <color rgb="FF0000D4"/>
      </right>
      <top/>
      <bottom style="thick">
        <color rgb="FF0000D4"/>
      </bottom>
      <diagonal/>
    </border>
    <border diagonalUp="false" diagonalDown="false">
      <left style="thick">
        <color rgb="FF0000D4"/>
      </left>
      <right style="thick">
        <color rgb="FF0000D4"/>
      </right>
      <top style="thick">
        <color rgb="FF0000D4"/>
      </top>
      <bottom style="thick">
        <color rgb="FF0000D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5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3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3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5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5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8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0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5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D4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CF305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DD08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fr-FR" sz="1200" spc="-1" strike="noStrike">
                <a:solidFill>
                  <a:srgbClr val="000000"/>
                </a:solidFill>
                <a:latin typeface="Arial"/>
                <a:ea typeface="Arial"/>
              </a:rPr>
              <a:t>sensibilité PHEMTO mirroir</a:t>
            </a:r>
          </a:p>
        </c:rich>
      </c:tx>
      <c:layout>
        <c:manualLayout>
          <c:xMode val="edge"/>
          <c:yMode val="edge"/>
          <c:x val="0.230561646146062"/>
          <c:y val="0.0422243166823751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12312362962"/>
          <c:y val="0.174175306314797"/>
          <c:w val="0.806544105245404"/>
          <c:h val="0.659095193213949"/>
        </c:manualLayout>
      </c:layout>
      <c:lineChart>
        <c:grouping val="standard"/>
        <c:varyColors val="0"/>
        <c:ser>
          <c:idx val="0"/>
          <c:order val="0"/>
          <c:tx>
            <c:strRef>
              <c:f>"sensibilité"</c:f>
              <c:strCache>
                <c:ptCount val="1"/>
                <c:pt idx="0">
                  <c:v>sensibilité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95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'Calculs mirroir'!$B$17:$B$115</c:f>
              <c:strCache>
                <c:ptCount val="99"/>
                <c:pt idx="0">
                  <c:v>1.61</c:v>
                </c:pt>
                <c:pt idx="1">
                  <c:v>2.41</c:v>
                </c:pt>
                <c:pt idx="2">
                  <c:v>3.21</c:v>
                </c:pt>
                <c:pt idx="3">
                  <c:v>4.02</c:v>
                </c:pt>
                <c:pt idx="4">
                  <c:v>4.82</c:v>
                </c:pt>
                <c:pt idx="5">
                  <c:v>5.62</c:v>
                </c:pt>
                <c:pt idx="6">
                  <c:v>6.42</c:v>
                </c:pt>
                <c:pt idx="7">
                  <c:v>7.23</c:v>
                </c:pt>
                <c:pt idx="8">
                  <c:v>8.03</c:v>
                </c:pt>
                <c:pt idx="9">
                  <c:v>8.83</c:v>
                </c:pt>
                <c:pt idx="10">
                  <c:v>9.64</c:v>
                </c:pt>
                <c:pt idx="11">
                  <c:v>10.44</c:v>
                </c:pt>
                <c:pt idx="12">
                  <c:v>11.24</c:v>
                </c:pt>
                <c:pt idx="13">
                  <c:v>12.05</c:v>
                </c:pt>
                <c:pt idx="14">
                  <c:v>12.85</c:v>
                </c:pt>
                <c:pt idx="15">
                  <c:v>13.65</c:v>
                </c:pt>
                <c:pt idx="16">
                  <c:v>14.45</c:v>
                </c:pt>
                <c:pt idx="17">
                  <c:v>15.26</c:v>
                </c:pt>
                <c:pt idx="18">
                  <c:v>16.06</c:v>
                </c:pt>
                <c:pt idx="19">
                  <c:v>16.86</c:v>
                </c:pt>
                <c:pt idx="20">
                  <c:v>17.67</c:v>
                </c:pt>
                <c:pt idx="21">
                  <c:v>18.47</c:v>
                </c:pt>
                <c:pt idx="22">
                  <c:v>19.27</c:v>
                </c:pt>
                <c:pt idx="23">
                  <c:v>20.08</c:v>
                </c:pt>
                <c:pt idx="24">
                  <c:v>20.88</c:v>
                </c:pt>
                <c:pt idx="25">
                  <c:v>21.68</c:v>
                </c:pt>
                <c:pt idx="26">
                  <c:v>22.48</c:v>
                </c:pt>
                <c:pt idx="27">
                  <c:v>23.29</c:v>
                </c:pt>
                <c:pt idx="28">
                  <c:v>24.09</c:v>
                </c:pt>
                <c:pt idx="29">
                  <c:v>24.89</c:v>
                </c:pt>
                <c:pt idx="30">
                  <c:v>25.70</c:v>
                </c:pt>
                <c:pt idx="31">
                  <c:v>26.50</c:v>
                </c:pt>
                <c:pt idx="32">
                  <c:v>27.30</c:v>
                </c:pt>
                <c:pt idx="33">
                  <c:v>28.11</c:v>
                </c:pt>
                <c:pt idx="34">
                  <c:v>28.91</c:v>
                </c:pt>
                <c:pt idx="35">
                  <c:v>29.71</c:v>
                </c:pt>
                <c:pt idx="36">
                  <c:v>30.52</c:v>
                </c:pt>
                <c:pt idx="37">
                  <c:v>31.32</c:v>
                </c:pt>
                <c:pt idx="38">
                  <c:v>32.12</c:v>
                </c:pt>
                <c:pt idx="39">
                  <c:v>32.92</c:v>
                </c:pt>
                <c:pt idx="40">
                  <c:v>33.73</c:v>
                </c:pt>
                <c:pt idx="41">
                  <c:v>34.53</c:v>
                </c:pt>
                <c:pt idx="42">
                  <c:v>35.33</c:v>
                </c:pt>
                <c:pt idx="43">
                  <c:v>36.14</c:v>
                </c:pt>
                <c:pt idx="44">
                  <c:v>36.94</c:v>
                </c:pt>
                <c:pt idx="45">
                  <c:v>37.74</c:v>
                </c:pt>
                <c:pt idx="46">
                  <c:v>38.55</c:v>
                </c:pt>
                <c:pt idx="47">
                  <c:v>39.35</c:v>
                </c:pt>
                <c:pt idx="48">
                  <c:v>40.15</c:v>
                </c:pt>
                <c:pt idx="49">
                  <c:v>40.95</c:v>
                </c:pt>
                <c:pt idx="50">
                  <c:v>41.76</c:v>
                </c:pt>
                <c:pt idx="51">
                  <c:v>42.56</c:v>
                </c:pt>
                <c:pt idx="52">
                  <c:v>43.36</c:v>
                </c:pt>
                <c:pt idx="53">
                  <c:v>44.17</c:v>
                </c:pt>
                <c:pt idx="54">
                  <c:v>44.97</c:v>
                </c:pt>
                <c:pt idx="55">
                  <c:v>45.77</c:v>
                </c:pt>
                <c:pt idx="56">
                  <c:v>46.58</c:v>
                </c:pt>
                <c:pt idx="57">
                  <c:v>47.38</c:v>
                </c:pt>
                <c:pt idx="58">
                  <c:v>48.18</c:v>
                </c:pt>
                <c:pt idx="59">
                  <c:v>48.98</c:v>
                </c:pt>
                <c:pt idx="60">
                  <c:v>49.79</c:v>
                </c:pt>
                <c:pt idx="61">
                  <c:v>50.59</c:v>
                </c:pt>
                <c:pt idx="62">
                  <c:v>51.39</c:v>
                </c:pt>
                <c:pt idx="63">
                  <c:v>52.20</c:v>
                </c:pt>
                <c:pt idx="64">
                  <c:v>53.00</c:v>
                </c:pt>
                <c:pt idx="65">
                  <c:v>53.80</c:v>
                </c:pt>
                <c:pt idx="66">
                  <c:v>54.61</c:v>
                </c:pt>
                <c:pt idx="67">
                  <c:v>55.41</c:v>
                </c:pt>
                <c:pt idx="68">
                  <c:v>56.21</c:v>
                </c:pt>
                <c:pt idx="69">
                  <c:v>57.02</c:v>
                </c:pt>
                <c:pt idx="70">
                  <c:v>57.82</c:v>
                </c:pt>
                <c:pt idx="71">
                  <c:v>58.62</c:v>
                </c:pt>
                <c:pt idx="72">
                  <c:v>59.42</c:v>
                </c:pt>
                <c:pt idx="73">
                  <c:v>60.23</c:v>
                </c:pt>
                <c:pt idx="74">
                  <c:v>61.03</c:v>
                </c:pt>
                <c:pt idx="75">
                  <c:v>61.83</c:v>
                </c:pt>
                <c:pt idx="76">
                  <c:v>62.64</c:v>
                </c:pt>
                <c:pt idx="77">
                  <c:v>63.44</c:v>
                </c:pt>
                <c:pt idx="78">
                  <c:v>64.24</c:v>
                </c:pt>
                <c:pt idx="79">
                  <c:v>65.05</c:v>
                </c:pt>
                <c:pt idx="80">
                  <c:v>65.85</c:v>
                </c:pt>
                <c:pt idx="81">
                  <c:v>66.65</c:v>
                </c:pt>
                <c:pt idx="82">
                  <c:v>67.45</c:v>
                </c:pt>
                <c:pt idx="83">
                  <c:v>68.26</c:v>
                </c:pt>
                <c:pt idx="84">
                  <c:v>69.06</c:v>
                </c:pt>
                <c:pt idx="85">
                  <c:v>69.86</c:v>
                </c:pt>
                <c:pt idx="86">
                  <c:v>70.67</c:v>
                </c:pt>
                <c:pt idx="87">
                  <c:v>71.47</c:v>
                </c:pt>
                <c:pt idx="88">
                  <c:v>72.27</c:v>
                </c:pt>
                <c:pt idx="89">
                  <c:v>73.08</c:v>
                </c:pt>
                <c:pt idx="90">
                  <c:v>73.88</c:v>
                </c:pt>
                <c:pt idx="91">
                  <c:v>74.68</c:v>
                </c:pt>
                <c:pt idx="92">
                  <c:v>75.48</c:v>
                </c:pt>
                <c:pt idx="93">
                  <c:v>76.29</c:v>
                </c:pt>
                <c:pt idx="94">
                  <c:v>77.09</c:v>
                </c:pt>
                <c:pt idx="95">
                  <c:v>77.89</c:v>
                </c:pt>
                <c:pt idx="96">
                  <c:v>78.70</c:v>
                </c:pt>
                <c:pt idx="97">
                  <c:v>79.50</c:v>
                </c:pt>
                <c:pt idx="98">
                  <c:v>80.30</c:v>
                </c:pt>
              </c:strCache>
            </c:strRef>
          </c:cat>
          <c:val>
            <c:numRef>
              <c:f>'Calculs mirroir'!$O$20:$O$115</c:f>
              <c:numCache>
                <c:formatCode>0.00E+00</c:formatCode>
                <c:ptCount val="96"/>
                <c:pt idx="0">
                  <c:v>1.83290800137909E-008</c:v>
                </c:pt>
                <c:pt idx="1">
                  <c:v>1.65637670345221E-008</c:v>
                </c:pt>
                <c:pt idx="2">
                  <c:v>1.52222972560286E-008</c:v>
                </c:pt>
                <c:pt idx="3">
                  <c:v>1.41605749146095E-008</c:v>
                </c:pt>
                <c:pt idx="4">
                  <c:v>1.32918909590931E-008</c:v>
                </c:pt>
                <c:pt idx="5">
                  <c:v>1.25624732609266E-008</c:v>
                </c:pt>
                <c:pt idx="6">
                  <c:v>1.19459592742263E-008</c:v>
                </c:pt>
                <c:pt idx="7">
                  <c:v>1.14138631851848E-008</c:v>
                </c:pt>
                <c:pt idx="8">
                  <c:v>1.09502324828819E-008</c:v>
                </c:pt>
                <c:pt idx="9">
                  <c:v>1.05741579052502E-008</c:v>
                </c:pt>
                <c:pt idx="10">
                  <c:v>1.10318385183116E-008</c:v>
                </c:pt>
                <c:pt idx="11">
                  <c:v>1.09042886675226E-008</c:v>
                </c:pt>
                <c:pt idx="12">
                  <c:v>1.10121245434854E-008</c:v>
                </c:pt>
                <c:pt idx="13">
                  <c:v>1.10043159010365E-008</c:v>
                </c:pt>
                <c:pt idx="14">
                  <c:v>1.0593014453792E-008</c:v>
                </c:pt>
                <c:pt idx="15">
                  <c:v>1.0257734906343E-008</c:v>
                </c:pt>
                <c:pt idx="16">
                  <c:v>9.97041701240203E-009</c:v>
                </c:pt>
                <c:pt idx="17">
                  <c:v>9.70186490088039E-009</c:v>
                </c:pt>
                <c:pt idx="18">
                  <c:v>9.45081556860328E-009</c:v>
                </c:pt>
                <c:pt idx="19">
                  <c:v>9.23343330650557E-009</c:v>
                </c:pt>
                <c:pt idx="20">
                  <c:v>9.03406143727301E-009</c:v>
                </c:pt>
                <c:pt idx="21">
                  <c:v>9.12207916809039E-009</c:v>
                </c:pt>
                <c:pt idx="22">
                  <c:v>9.20881028032736E-009</c:v>
                </c:pt>
                <c:pt idx="23">
                  <c:v>9.29536338560081E-009</c:v>
                </c:pt>
                <c:pt idx="24">
                  <c:v>9.38589600809861E-009</c:v>
                </c:pt>
                <c:pt idx="25">
                  <c:v>9.47493621964058E-009</c:v>
                </c:pt>
                <c:pt idx="26">
                  <c:v>9.56855559238496E-009</c:v>
                </c:pt>
                <c:pt idx="27">
                  <c:v>9.66381857453961E-009</c:v>
                </c:pt>
                <c:pt idx="28">
                  <c:v>9.76095536730342E-009</c:v>
                </c:pt>
                <c:pt idx="29">
                  <c:v>9.86596254405959E-009</c:v>
                </c:pt>
                <c:pt idx="30">
                  <c:v>9.96929797233488E-009</c:v>
                </c:pt>
                <c:pt idx="31">
                  <c:v>1.00895361286619E-008</c:v>
                </c:pt>
                <c:pt idx="32">
                  <c:v>1.02124819454523E-008</c:v>
                </c:pt>
                <c:pt idx="33">
                  <c:v>1.0308161373234E-008</c:v>
                </c:pt>
                <c:pt idx="34">
                  <c:v>1.04560480873377E-008</c:v>
                </c:pt>
                <c:pt idx="35">
                  <c:v>1.06364428413616E-008</c:v>
                </c:pt>
                <c:pt idx="36">
                  <c:v>1.08783362441172E-008</c:v>
                </c:pt>
                <c:pt idx="37">
                  <c:v>1.12593780296207E-008</c:v>
                </c:pt>
                <c:pt idx="38">
                  <c:v>1.18595526725598E-008</c:v>
                </c:pt>
                <c:pt idx="39">
                  <c:v>1.2485093596689E-008</c:v>
                </c:pt>
                <c:pt idx="40">
                  <c:v>1.30135484668961E-008</c:v>
                </c:pt>
                <c:pt idx="41">
                  <c:v>1.35935035836821E-008</c:v>
                </c:pt>
                <c:pt idx="42">
                  <c:v>1.42172511777621E-008</c:v>
                </c:pt>
                <c:pt idx="43">
                  <c:v>1.48824440530543E-008</c:v>
                </c:pt>
                <c:pt idx="44">
                  <c:v>1.55898879888229E-008</c:v>
                </c:pt>
                <c:pt idx="45">
                  <c:v>1.63401025789387E-008</c:v>
                </c:pt>
                <c:pt idx="46">
                  <c:v>1.65039999886604E-008</c:v>
                </c:pt>
                <c:pt idx="47">
                  <c:v>1.62662881125579E-008</c:v>
                </c:pt>
                <c:pt idx="48">
                  <c:v>1.60362637224154E-008</c:v>
                </c:pt>
                <c:pt idx="49">
                  <c:v>1.58133956054668E-008</c:v>
                </c:pt>
                <c:pt idx="50">
                  <c:v>1.55971883162053E-008</c:v>
                </c:pt>
                <c:pt idx="51">
                  <c:v>1.53875125196721E-008</c:v>
                </c:pt>
                <c:pt idx="52">
                  <c:v>1.51840336215004E-008</c:v>
                </c:pt>
                <c:pt idx="53">
                  <c:v>1.49863387029172E-008</c:v>
                </c:pt>
                <c:pt idx="54">
                  <c:v>1.47943600817623E-008</c:v>
                </c:pt>
                <c:pt idx="55">
                  <c:v>1.46077223184012E-008</c:v>
                </c:pt>
                <c:pt idx="56">
                  <c:v>1.44262887353521E-008</c:v>
                </c:pt>
                <c:pt idx="57">
                  <c:v>1.42496129737989E-008</c:v>
                </c:pt>
                <c:pt idx="58">
                  <c:v>1.41094280364025E-008</c:v>
                </c:pt>
                <c:pt idx="59">
                  <c:v>1.39844975695834E-008</c:v>
                </c:pt>
                <c:pt idx="60">
                  <c:v>1.38634684947241E-008</c:v>
                </c:pt>
                <c:pt idx="61">
                  <c:v>1.37454407502332E-008</c:v>
                </c:pt>
                <c:pt idx="62">
                  <c:v>1.36306089382192E-008</c:v>
                </c:pt>
                <c:pt idx="63">
                  <c:v>1.35194964287806E-008</c:v>
                </c:pt>
                <c:pt idx="64">
                  <c:v>1.34110312051952E-008</c:v>
                </c:pt>
                <c:pt idx="65">
                  <c:v>1.33055457911995E-008</c:v>
                </c:pt>
                <c:pt idx="66">
                  <c:v>1.32033806684839E-008</c:v>
                </c:pt>
                <c:pt idx="67">
                  <c:v>1.31037212412072E-008</c:v>
                </c:pt>
                <c:pt idx="68">
                  <c:v>1.30067366029962E-008</c:v>
                </c:pt>
                <c:pt idx="69">
                  <c:v>1.29125925616763E-008</c:v>
                </c:pt>
                <c:pt idx="70">
                  <c:v>1.28216892943078E-008</c:v>
                </c:pt>
                <c:pt idx="71">
                  <c:v>1.30981376349041E-008</c:v>
                </c:pt>
                <c:pt idx="72">
                  <c:v>1.33939953452311E-008</c:v>
                </c:pt>
                <c:pt idx="73">
                  <c:v>1.37112525945791E-008</c:v>
                </c:pt>
                <c:pt idx="74">
                  <c:v>1.40512817516506E-008</c:v>
                </c:pt>
                <c:pt idx="75">
                  <c:v>1.44165333533461E-008</c:v>
                </c:pt>
                <c:pt idx="76">
                  <c:v>1.48105782705994E-008</c:v>
                </c:pt>
                <c:pt idx="77">
                  <c:v>1.52350462302977E-008</c:v>
                </c:pt>
                <c:pt idx="78">
                  <c:v>1.56940122297778E-008</c:v>
                </c:pt>
                <c:pt idx="79">
                  <c:v>1.61388910685187E-008</c:v>
                </c:pt>
                <c:pt idx="80">
                  <c:v>1.66801314465798E-008</c:v>
                </c:pt>
                <c:pt idx="81">
                  <c:v>1.72690927979793E-008</c:v>
                </c:pt>
                <c:pt idx="82">
                  <c:v>1.79124317589313E-008</c:v>
                </c:pt>
                <c:pt idx="83">
                  <c:v>1.86194205333956E-008</c:v>
                </c:pt>
                <c:pt idx="84">
                  <c:v>1.93960464492665E-008</c:v>
                </c:pt>
                <c:pt idx="85">
                  <c:v>2.02535114893682E-008</c:v>
                </c:pt>
                <c:pt idx="86">
                  <c:v>2.12062290424243E-008</c:v>
                </c:pt>
                <c:pt idx="87">
                  <c:v>2.22659053612417E-008</c:v>
                </c:pt>
                <c:pt idx="88">
                  <c:v>2.3452528074138E-008</c:v>
                </c:pt>
                <c:pt idx="89">
                  <c:v>2.47885942336482E-008</c:v>
                </c:pt>
                <c:pt idx="90">
                  <c:v>2.63045733437712E-008</c:v>
                </c:pt>
                <c:pt idx="91">
                  <c:v>2.80317555534733E-008</c:v>
                </c:pt>
                <c:pt idx="92">
                  <c:v>3.0019770735094E-008</c:v>
                </c:pt>
                <c:pt idx="93">
                  <c:v>3.23305283087823E-008</c:v>
                </c:pt>
                <c:pt idx="94">
                  <c:v>3.50373230234828E-008</c:v>
                </c:pt>
                <c:pt idx="95">
                  <c:v>3.82592078968514E-008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606441"/>
        <c:axId val="69862043"/>
      </c:lineChart>
      <c:catAx>
        <c:axId val="80606441"/>
        <c:scaling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681733850565"/>
              <c:y val="0.910273327049953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9862043"/>
        <c:crossesAt val="1E-008"/>
        <c:auto val="1"/>
        <c:lblAlgn val="ctr"/>
        <c:lblOffset val="100"/>
        <c:noMultiLvlLbl val="0"/>
      </c:catAx>
      <c:valAx>
        <c:axId val="69862043"/>
        <c:scaling>
          <c:logBase val="10"/>
          <c:orientation val="minMax"/>
          <c:max val="1E-006"/>
          <c:min val="1E-009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flux (ph/cm2/s/keV)</a:t>
                </a:r>
              </a:p>
            </c:rich>
          </c:tx>
          <c:layout>
            <c:manualLayout>
              <c:xMode val="edge"/>
              <c:yMode val="edge"/>
              <c:x val="0.023781413391803"/>
              <c:y val="0.362865221489161"/>
            </c:manualLayout>
          </c:layout>
          <c:overlay val="0"/>
          <c:spPr>
            <a:noFill/>
            <a:ln w="2556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0606441"/>
        <c:crosses val="autoZero"/>
        <c:crossBetween val="between"/>
      </c:valAx>
      <c:spPr>
        <a:solidFill>
          <a:srgbClr val="c0c0c0"/>
        </a:solidFill>
        <a:ln w="25560">
          <a:solidFill>
            <a:srgbClr val="0000d4"/>
          </a:solidFill>
          <a:round/>
        </a:ln>
      </c:spPr>
    </c:plotArea>
    <c:plotVisOnly val="1"/>
    <c:dispBlanksAs val="zero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fr-FR" sz="1200" spc="-1" strike="noStrike">
                <a:solidFill>
                  <a:srgbClr val="000000"/>
                </a:solidFill>
                <a:latin typeface="Arial"/>
                <a:ea typeface="Arial"/>
              </a:rPr>
              <a:t>sensibilité PHEMTO mirroir</a:t>
            </a:r>
          </a:p>
        </c:rich>
      </c:tx>
      <c:layout>
        <c:manualLayout>
          <c:xMode val="edge"/>
          <c:yMode val="edge"/>
          <c:x val="0.230561646146062"/>
          <c:y val="0.0422190879172544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0118063754427"/>
          <c:y val="0.174141984015045"/>
          <c:w val="0.769438353853938"/>
          <c:h val="0.659144334743771"/>
        </c:manualLayout>
      </c:layout>
      <c:lineChart>
        <c:grouping val="standard"/>
        <c:varyColors val="0"/>
        <c:ser>
          <c:idx val="0"/>
          <c:order val="0"/>
          <c:tx>
            <c:strRef>
              <c:f>"sensibilité"</c:f>
              <c:strCache>
                <c:ptCount val="1"/>
                <c:pt idx="0">
                  <c:v>sensibilité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95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'Calculs mirroir'!$B$17:$B$115</c:f>
              <c:strCache>
                <c:ptCount val="99"/>
                <c:pt idx="0">
                  <c:v>1.61</c:v>
                </c:pt>
                <c:pt idx="1">
                  <c:v>2.41</c:v>
                </c:pt>
                <c:pt idx="2">
                  <c:v>3.21</c:v>
                </c:pt>
                <c:pt idx="3">
                  <c:v>4.02</c:v>
                </c:pt>
                <c:pt idx="4">
                  <c:v>4.82</c:v>
                </c:pt>
                <c:pt idx="5">
                  <c:v>5.62</c:v>
                </c:pt>
                <c:pt idx="6">
                  <c:v>6.42</c:v>
                </c:pt>
                <c:pt idx="7">
                  <c:v>7.23</c:v>
                </c:pt>
                <c:pt idx="8">
                  <c:v>8.03</c:v>
                </c:pt>
                <c:pt idx="9">
                  <c:v>8.83</c:v>
                </c:pt>
                <c:pt idx="10">
                  <c:v>9.64</c:v>
                </c:pt>
                <c:pt idx="11">
                  <c:v>10.44</c:v>
                </c:pt>
                <c:pt idx="12">
                  <c:v>11.24</c:v>
                </c:pt>
                <c:pt idx="13">
                  <c:v>12.05</c:v>
                </c:pt>
                <c:pt idx="14">
                  <c:v>12.85</c:v>
                </c:pt>
                <c:pt idx="15">
                  <c:v>13.65</c:v>
                </c:pt>
                <c:pt idx="16">
                  <c:v>14.45</c:v>
                </c:pt>
                <c:pt idx="17">
                  <c:v>15.26</c:v>
                </c:pt>
                <c:pt idx="18">
                  <c:v>16.06</c:v>
                </c:pt>
                <c:pt idx="19">
                  <c:v>16.86</c:v>
                </c:pt>
                <c:pt idx="20">
                  <c:v>17.67</c:v>
                </c:pt>
                <c:pt idx="21">
                  <c:v>18.47</c:v>
                </c:pt>
                <c:pt idx="22">
                  <c:v>19.27</c:v>
                </c:pt>
                <c:pt idx="23">
                  <c:v>20.08</c:v>
                </c:pt>
                <c:pt idx="24">
                  <c:v>20.88</c:v>
                </c:pt>
                <c:pt idx="25">
                  <c:v>21.68</c:v>
                </c:pt>
                <c:pt idx="26">
                  <c:v>22.48</c:v>
                </c:pt>
                <c:pt idx="27">
                  <c:v>23.29</c:v>
                </c:pt>
                <c:pt idx="28">
                  <c:v>24.09</c:v>
                </c:pt>
                <c:pt idx="29">
                  <c:v>24.89</c:v>
                </c:pt>
                <c:pt idx="30">
                  <c:v>25.70</c:v>
                </c:pt>
                <c:pt idx="31">
                  <c:v>26.50</c:v>
                </c:pt>
                <c:pt idx="32">
                  <c:v>27.30</c:v>
                </c:pt>
                <c:pt idx="33">
                  <c:v>28.11</c:v>
                </c:pt>
                <c:pt idx="34">
                  <c:v>28.91</c:v>
                </c:pt>
                <c:pt idx="35">
                  <c:v>29.71</c:v>
                </c:pt>
                <c:pt idx="36">
                  <c:v>30.52</c:v>
                </c:pt>
                <c:pt idx="37">
                  <c:v>31.32</c:v>
                </c:pt>
                <c:pt idx="38">
                  <c:v>32.12</c:v>
                </c:pt>
                <c:pt idx="39">
                  <c:v>32.92</c:v>
                </c:pt>
                <c:pt idx="40">
                  <c:v>33.73</c:v>
                </c:pt>
                <c:pt idx="41">
                  <c:v>34.53</c:v>
                </c:pt>
                <c:pt idx="42">
                  <c:v>35.33</c:v>
                </c:pt>
                <c:pt idx="43">
                  <c:v>36.14</c:v>
                </c:pt>
                <c:pt idx="44">
                  <c:v>36.94</c:v>
                </c:pt>
                <c:pt idx="45">
                  <c:v>37.74</c:v>
                </c:pt>
                <c:pt idx="46">
                  <c:v>38.55</c:v>
                </c:pt>
                <c:pt idx="47">
                  <c:v>39.35</c:v>
                </c:pt>
                <c:pt idx="48">
                  <c:v>40.15</c:v>
                </c:pt>
                <c:pt idx="49">
                  <c:v>40.95</c:v>
                </c:pt>
                <c:pt idx="50">
                  <c:v>41.76</c:v>
                </c:pt>
                <c:pt idx="51">
                  <c:v>42.56</c:v>
                </c:pt>
                <c:pt idx="52">
                  <c:v>43.36</c:v>
                </c:pt>
                <c:pt idx="53">
                  <c:v>44.17</c:v>
                </c:pt>
                <c:pt idx="54">
                  <c:v>44.97</c:v>
                </c:pt>
                <c:pt idx="55">
                  <c:v>45.77</c:v>
                </c:pt>
                <c:pt idx="56">
                  <c:v>46.58</c:v>
                </c:pt>
                <c:pt idx="57">
                  <c:v>47.38</c:v>
                </c:pt>
                <c:pt idx="58">
                  <c:v>48.18</c:v>
                </c:pt>
                <c:pt idx="59">
                  <c:v>48.98</c:v>
                </c:pt>
                <c:pt idx="60">
                  <c:v>49.79</c:v>
                </c:pt>
                <c:pt idx="61">
                  <c:v>50.59</c:v>
                </c:pt>
                <c:pt idx="62">
                  <c:v>51.39</c:v>
                </c:pt>
                <c:pt idx="63">
                  <c:v>52.20</c:v>
                </c:pt>
                <c:pt idx="64">
                  <c:v>53.00</c:v>
                </c:pt>
                <c:pt idx="65">
                  <c:v>53.80</c:v>
                </c:pt>
                <c:pt idx="66">
                  <c:v>54.61</c:v>
                </c:pt>
                <c:pt idx="67">
                  <c:v>55.41</c:v>
                </c:pt>
                <c:pt idx="68">
                  <c:v>56.21</c:v>
                </c:pt>
                <c:pt idx="69">
                  <c:v>57.02</c:v>
                </c:pt>
                <c:pt idx="70">
                  <c:v>57.82</c:v>
                </c:pt>
                <c:pt idx="71">
                  <c:v>58.62</c:v>
                </c:pt>
                <c:pt idx="72">
                  <c:v>59.42</c:v>
                </c:pt>
                <c:pt idx="73">
                  <c:v>60.23</c:v>
                </c:pt>
                <c:pt idx="74">
                  <c:v>61.03</c:v>
                </c:pt>
                <c:pt idx="75">
                  <c:v>61.83</c:v>
                </c:pt>
                <c:pt idx="76">
                  <c:v>62.64</c:v>
                </c:pt>
                <c:pt idx="77">
                  <c:v>63.44</c:v>
                </c:pt>
                <c:pt idx="78">
                  <c:v>64.24</c:v>
                </c:pt>
                <c:pt idx="79">
                  <c:v>65.05</c:v>
                </c:pt>
                <c:pt idx="80">
                  <c:v>65.85</c:v>
                </c:pt>
                <c:pt idx="81">
                  <c:v>66.65</c:v>
                </c:pt>
                <c:pt idx="82">
                  <c:v>67.45</c:v>
                </c:pt>
                <c:pt idx="83">
                  <c:v>68.26</c:v>
                </c:pt>
                <c:pt idx="84">
                  <c:v>69.06</c:v>
                </c:pt>
                <c:pt idx="85">
                  <c:v>69.86</c:v>
                </c:pt>
                <c:pt idx="86">
                  <c:v>70.67</c:v>
                </c:pt>
                <c:pt idx="87">
                  <c:v>71.47</c:v>
                </c:pt>
                <c:pt idx="88">
                  <c:v>72.27</c:v>
                </c:pt>
                <c:pt idx="89">
                  <c:v>73.08</c:v>
                </c:pt>
                <c:pt idx="90">
                  <c:v>73.88</c:v>
                </c:pt>
                <c:pt idx="91">
                  <c:v>74.68</c:v>
                </c:pt>
                <c:pt idx="92">
                  <c:v>75.48</c:v>
                </c:pt>
                <c:pt idx="93">
                  <c:v>76.29</c:v>
                </c:pt>
                <c:pt idx="94">
                  <c:v>77.09</c:v>
                </c:pt>
                <c:pt idx="95">
                  <c:v>77.89</c:v>
                </c:pt>
                <c:pt idx="96">
                  <c:v>78.70</c:v>
                </c:pt>
                <c:pt idx="97">
                  <c:v>79.50</c:v>
                </c:pt>
                <c:pt idx="98">
                  <c:v>80.30</c:v>
                </c:pt>
              </c:strCache>
            </c:strRef>
          </c:cat>
          <c:val>
            <c:numRef>
              <c:f>'Calculs mirroir'!$P$17:$P$115</c:f>
              <c:numCache>
                <c:formatCode>0.00E+00</c:formatCode>
                <c:ptCount val="99"/>
                <c:pt idx="0">
                  <c:v>1.12330722981666E-016</c:v>
                </c:pt>
                <c:pt idx="1">
                  <c:v>2.28807758283627E-016</c:v>
                </c:pt>
                <c:pt idx="2">
                  <c:v>3.44642599408578E-016</c:v>
                </c:pt>
                <c:pt idx="3">
                  <c:v>4.73429285588363E-016</c:v>
                </c:pt>
                <c:pt idx="4">
                  <c:v>6.16078505840715E-016</c:v>
                </c:pt>
                <c:pt idx="5">
                  <c:v>7.70638533218269E-016</c:v>
                </c:pt>
                <c:pt idx="6">
                  <c:v>9.36343719283891E-016</c:v>
                </c:pt>
                <c:pt idx="7">
                  <c:v>1.11236222326838E-015</c:v>
                </c:pt>
                <c:pt idx="8">
                  <c:v>1.29792498518333E-015</c:v>
                </c:pt>
                <c:pt idx="9">
                  <c:v>1.49341614541386E-015</c:v>
                </c:pt>
                <c:pt idx="10">
                  <c:v>1.69812477133813E-015</c:v>
                </c:pt>
                <c:pt idx="11">
                  <c:v>1.91198501159636E-015</c:v>
                </c:pt>
                <c:pt idx="12">
                  <c:v>2.14129400919605E-015</c:v>
                </c:pt>
                <c:pt idx="13">
                  <c:v>2.56451269525852E-015</c:v>
                </c:pt>
                <c:pt idx="14">
                  <c:v>2.88410949557895E-015</c:v>
                </c:pt>
                <c:pt idx="15">
                  <c:v>3.2880877769094E-015</c:v>
                </c:pt>
                <c:pt idx="16">
                  <c:v>3.68368516011584E-015</c:v>
                </c:pt>
                <c:pt idx="17">
                  <c:v>3.95094706996623E-015</c:v>
                </c:pt>
                <c:pt idx="18">
                  <c:v>4.23921952823017E-015</c:v>
                </c:pt>
                <c:pt idx="19">
                  <c:v>4.54282865740089E-015</c:v>
                </c:pt>
                <c:pt idx="20">
                  <c:v>4.85148874748608E-015</c:v>
                </c:pt>
                <c:pt idx="21">
                  <c:v>5.16534583236783E-015</c:v>
                </c:pt>
                <c:pt idx="22">
                  <c:v>5.49490443346828E-015</c:v>
                </c:pt>
                <c:pt idx="23">
                  <c:v>5.83361146466639E-015</c:v>
                </c:pt>
                <c:pt idx="24">
                  <c:v>6.37110813430539E-015</c:v>
                </c:pt>
                <c:pt idx="25">
                  <c:v>6.93594270841549E-015</c:v>
                </c:pt>
                <c:pt idx="26">
                  <c:v>7.52933946562284E-015</c:v>
                </c:pt>
                <c:pt idx="27">
                  <c:v>8.15541708616109E-015</c:v>
                </c:pt>
                <c:pt idx="28">
                  <c:v>8.81035174089047E-015</c:v>
                </c:pt>
                <c:pt idx="29">
                  <c:v>9.50045083213206E-015</c:v>
                </c:pt>
                <c:pt idx="30">
                  <c:v>1.02240547663853E-014</c:v>
                </c:pt>
                <c:pt idx="31">
                  <c:v>1.09823340385753E-014</c:v>
                </c:pt>
                <c:pt idx="32">
                  <c:v>1.17834303391089E-014</c:v>
                </c:pt>
                <c:pt idx="33">
                  <c:v>1.26175521299411E-014</c:v>
                </c:pt>
                <c:pt idx="34">
                  <c:v>1.35098536198787E-014</c:v>
                </c:pt>
                <c:pt idx="35">
                  <c:v>1.44447221328821E-014</c:v>
                </c:pt>
                <c:pt idx="36">
                  <c:v>1.53788139854031E-014</c:v>
                </c:pt>
                <c:pt idx="37">
                  <c:v>1.64312736229096E-014</c:v>
                </c:pt>
                <c:pt idx="38">
                  <c:v>1.7582913317587E-014</c:v>
                </c:pt>
                <c:pt idx="39">
                  <c:v>1.88931613580354E-014</c:v>
                </c:pt>
                <c:pt idx="40">
                  <c:v>2.05204756473215E-014</c:v>
                </c:pt>
                <c:pt idx="41">
                  <c:v>2.26558135057651E-014</c:v>
                </c:pt>
                <c:pt idx="42">
                  <c:v>2.49730505924875E-014</c:v>
                </c:pt>
                <c:pt idx="43">
                  <c:v>2.72267123423955E-014</c:v>
                </c:pt>
                <c:pt idx="44">
                  <c:v>2.97181322366923E-014</c:v>
                </c:pt>
                <c:pt idx="45">
                  <c:v>3.2447840124985E-014</c:v>
                </c:pt>
                <c:pt idx="46">
                  <c:v>3.54267387521113E-014</c:v>
                </c:pt>
                <c:pt idx="47">
                  <c:v>3.86731543292132E-014</c:v>
                </c:pt>
                <c:pt idx="48">
                  <c:v>4.22055175959022E-014</c:v>
                </c:pt>
                <c:pt idx="49">
                  <c:v>4.43510606315558E-014</c:v>
                </c:pt>
                <c:pt idx="50">
                  <c:v>4.54432716924414E-014</c:v>
                </c:pt>
                <c:pt idx="51">
                  <c:v>4.65403207605269E-014</c:v>
                </c:pt>
                <c:pt idx="52">
                  <c:v>4.76416833906704E-014</c:v>
                </c:pt>
                <c:pt idx="53">
                  <c:v>4.87468029408819E-014</c:v>
                </c:pt>
                <c:pt idx="54">
                  <c:v>4.98561704307783E-014</c:v>
                </c:pt>
                <c:pt idx="55">
                  <c:v>5.09696100501218E-014</c:v>
                </c:pt>
                <c:pt idx="56">
                  <c:v>5.20865957224801E-014</c:v>
                </c:pt>
                <c:pt idx="57">
                  <c:v>5.32077201830174E-014</c:v>
                </c:pt>
                <c:pt idx="58">
                  <c:v>5.43324699079621E-014</c:v>
                </c:pt>
                <c:pt idx="59">
                  <c:v>5.54611324124559E-014</c:v>
                </c:pt>
                <c:pt idx="60">
                  <c:v>5.65927620433023E-014</c:v>
                </c:pt>
                <c:pt idx="61">
                  <c:v>5.78582042467888E-014</c:v>
                </c:pt>
                <c:pt idx="62">
                  <c:v>5.91808581375873E-014</c:v>
                </c:pt>
                <c:pt idx="63">
                  <c:v>6.05163959194848E-014</c:v>
                </c:pt>
                <c:pt idx="64">
                  <c:v>6.18615765141886E-014</c:v>
                </c:pt>
                <c:pt idx="65">
                  <c:v>6.32177894665979E-014</c:v>
                </c:pt>
                <c:pt idx="66">
                  <c:v>6.45881407625199E-014</c:v>
                </c:pt>
                <c:pt idx="67">
                  <c:v>6.59682247014119E-014</c:v>
                </c:pt>
                <c:pt idx="68">
                  <c:v>6.73601764552169E-014</c:v>
                </c:pt>
                <c:pt idx="69">
                  <c:v>6.87663992295669E-014</c:v>
                </c:pt>
                <c:pt idx="70">
                  <c:v>7.01833478118017E-014</c:v>
                </c:pt>
                <c:pt idx="71">
                  <c:v>7.1612446008479E-014</c:v>
                </c:pt>
                <c:pt idx="72">
                  <c:v>7.30552328277434E-014</c:v>
                </c:pt>
                <c:pt idx="73">
                  <c:v>7.45147446042547E-014</c:v>
                </c:pt>
                <c:pt idx="74">
                  <c:v>7.81647919348402E-014</c:v>
                </c:pt>
                <c:pt idx="75">
                  <c:v>8.20476291013135E-014</c:v>
                </c:pt>
                <c:pt idx="76">
                  <c:v>8.61868045030088E-014</c:v>
                </c:pt>
                <c:pt idx="77">
                  <c:v>9.06034148586436E-014</c:v>
                </c:pt>
                <c:pt idx="78">
                  <c:v>9.53268531867693E-014</c:v>
                </c:pt>
                <c:pt idx="79">
                  <c:v>1.00396019711989E-013</c:v>
                </c:pt>
                <c:pt idx="80">
                  <c:v>1.05839047540676E-013</c:v>
                </c:pt>
                <c:pt idx="81">
                  <c:v>1.11702942740774E-013</c:v>
                </c:pt>
                <c:pt idx="82">
                  <c:v>1.17654002292841E-013</c:v>
                </c:pt>
                <c:pt idx="83">
                  <c:v>1.24512158822665E-013</c:v>
                </c:pt>
                <c:pt idx="84">
                  <c:v>1.319595629886E-013</c:v>
                </c:pt>
                <c:pt idx="85">
                  <c:v>1.40077214477863E-013</c:v>
                </c:pt>
                <c:pt idx="86">
                  <c:v>1.4897244580452E-013</c:v>
                </c:pt>
                <c:pt idx="87">
                  <c:v>1.58733163441537E-013</c:v>
                </c:pt>
                <c:pt idx="88">
                  <c:v>1.69496132180446E-013</c:v>
                </c:pt>
                <c:pt idx="89">
                  <c:v>1.81434835417103E-013</c:v>
                </c:pt>
                <c:pt idx="90">
                  <c:v>1.94710986056807E-013</c:v>
                </c:pt>
                <c:pt idx="91">
                  <c:v>2.0957042986862E-013</c:v>
                </c:pt>
                <c:pt idx="92">
                  <c:v>2.26298694365269E-013</c:v>
                </c:pt>
                <c:pt idx="93">
                  <c:v>2.45274791438513E-013</c:v>
                </c:pt>
                <c:pt idx="94">
                  <c:v>2.6691145077841E-013</c:v>
                </c:pt>
                <c:pt idx="95">
                  <c:v>2.91826873369726E-013</c:v>
                </c:pt>
                <c:pt idx="96">
                  <c:v>3.20803719668675E-013</c:v>
                </c:pt>
                <c:pt idx="97">
                  <c:v>3.54793576759167E-013</c:v>
                </c:pt>
                <c:pt idx="98">
                  <c:v>3.95285074931048E-013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454219"/>
        <c:axId val="34615787"/>
      </c:lineChart>
      <c:catAx>
        <c:axId val="95454219"/>
        <c:scaling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681733850565"/>
              <c:y val="0.910296191819464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4615787"/>
        <c:crossesAt val="1E-008"/>
        <c:auto val="1"/>
        <c:lblAlgn val="ctr"/>
        <c:lblOffset val="100"/>
        <c:noMultiLvlLbl val="0"/>
      </c:catAx>
      <c:valAx>
        <c:axId val="34615787"/>
        <c:scaling>
          <c:logBase val="10"/>
          <c:orientation val="minMax"/>
          <c:max val="1E-012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flux (erg/cm2/s)</a:t>
                </a:r>
              </a:p>
            </c:rich>
          </c:tx>
          <c:layout>
            <c:manualLayout>
              <c:xMode val="edge"/>
              <c:yMode val="edge"/>
              <c:x val="0.023781413391803"/>
              <c:y val="0.362858486130701"/>
            </c:manualLayout>
          </c:layout>
          <c:overlay val="0"/>
          <c:spPr>
            <a:noFill/>
            <a:ln w="2556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5454219"/>
        <c:crosses val="autoZero"/>
        <c:crossBetween val="between"/>
      </c:valAx>
      <c:spPr>
        <a:solidFill>
          <a:srgbClr val="c0c0c0"/>
        </a:solidFill>
        <a:ln w="25560">
          <a:solidFill>
            <a:srgbClr val="0000d4"/>
          </a:solidFill>
          <a:round/>
        </a:ln>
      </c:spPr>
    </c:plotArea>
    <c:plotVisOnly val="1"/>
    <c:dispBlanksAs val="zero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fr-FR" sz="1200" spc="-1" strike="noStrike">
                <a:solidFill>
                  <a:srgbClr val="000000"/>
                </a:solidFill>
                <a:latin typeface="Arial"/>
                <a:ea typeface="Arial"/>
              </a:rPr>
              <a:t>sensibilité PHEMTO lentille</a:t>
            </a:r>
          </a:p>
        </c:rich>
      </c:tx>
      <c:layout>
        <c:manualLayout>
          <c:xMode val="edge"/>
          <c:yMode val="edge"/>
          <c:x val="0.230671089563664"/>
          <c:y val="0.0422190879172544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639363783278"/>
          <c:y val="0.174141984015045"/>
          <c:w val="0.767627796206515"/>
          <c:h val="0.659144334743771"/>
        </c:manualLayout>
      </c:layout>
      <c:lineChart>
        <c:grouping val="standard"/>
        <c:varyColors val="0"/>
        <c:ser>
          <c:idx val="0"/>
          <c:order val="0"/>
          <c:tx>
            <c:strRef>
              <c:f>"sensibilité"</c:f>
              <c:strCache>
                <c:ptCount val="1"/>
                <c:pt idx="0">
                  <c:v>sensibilité</c:v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95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'Calculs lentille'!$B$16:$B$115</c:f>
              <c:strCache>
                <c:ptCount val="100"/>
                <c:pt idx="0">
                  <c:v>50.00</c:v>
                </c:pt>
                <c:pt idx="1">
                  <c:v>56.50</c:v>
                </c:pt>
                <c:pt idx="2">
                  <c:v>63.00</c:v>
                </c:pt>
                <c:pt idx="3">
                  <c:v>69.50</c:v>
                </c:pt>
                <c:pt idx="4">
                  <c:v>76.00</c:v>
                </c:pt>
                <c:pt idx="5">
                  <c:v>82.50</c:v>
                </c:pt>
                <c:pt idx="6">
                  <c:v>89.00</c:v>
                </c:pt>
                <c:pt idx="7">
                  <c:v>95.50</c:v>
                </c:pt>
                <c:pt idx="8">
                  <c:v>102.00</c:v>
                </c:pt>
                <c:pt idx="9">
                  <c:v>108.50</c:v>
                </c:pt>
                <c:pt idx="10">
                  <c:v>115.00</c:v>
                </c:pt>
                <c:pt idx="11">
                  <c:v>121.50</c:v>
                </c:pt>
                <c:pt idx="12">
                  <c:v>128.00</c:v>
                </c:pt>
                <c:pt idx="13">
                  <c:v>134.50</c:v>
                </c:pt>
                <c:pt idx="14">
                  <c:v>141.00</c:v>
                </c:pt>
                <c:pt idx="15">
                  <c:v>147.50</c:v>
                </c:pt>
                <c:pt idx="16">
                  <c:v>154.00</c:v>
                </c:pt>
                <c:pt idx="17">
                  <c:v>160.50</c:v>
                </c:pt>
                <c:pt idx="18">
                  <c:v>167.00</c:v>
                </c:pt>
                <c:pt idx="19">
                  <c:v>173.50</c:v>
                </c:pt>
                <c:pt idx="20">
                  <c:v>180.00</c:v>
                </c:pt>
                <c:pt idx="21">
                  <c:v>186.50</c:v>
                </c:pt>
                <c:pt idx="22">
                  <c:v>193.00</c:v>
                </c:pt>
                <c:pt idx="23">
                  <c:v>199.50</c:v>
                </c:pt>
                <c:pt idx="24">
                  <c:v>206.00</c:v>
                </c:pt>
                <c:pt idx="25">
                  <c:v>212.50</c:v>
                </c:pt>
                <c:pt idx="26">
                  <c:v>219.00</c:v>
                </c:pt>
                <c:pt idx="27">
                  <c:v>225.50</c:v>
                </c:pt>
                <c:pt idx="28">
                  <c:v>232.00</c:v>
                </c:pt>
                <c:pt idx="29">
                  <c:v>238.50</c:v>
                </c:pt>
                <c:pt idx="30">
                  <c:v>245.00</c:v>
                </c:pt>
                <c:pt idx="31">
                  <c:v>251.50</c:v>
                </c:pt>
                <c:pt idx="32">
                  <c:v>258.00</c:v>
                </c:pt>
                <c:pt idx="33">
                  <c:v>264.50</c:v>
                </c:pt>
                <c:pt idx="34">
                  <c:v>271.00</c:v>
                </c:pt>
                <c:pt idx="35">
                  <c:v>277.50</c:v>
                </c:pt>
                <c:pt idx="36">
                  <c:v>284.00</c:v>
                </c:pt>
                <c:pt idx="37">
                  <c:v>290.50</c:v>
                </c:pt>
                <c:pt idx="38">
                  <c:v>297.00</c:v>
                </c:pt>
                <c:pt idx="39">
                  <c:v>303.50</c:v>
                </c:pt>
                <c:pt idx="40">
                  <c:v>310.00</c:v>
                </c:pt>
                <c:pt idx="41">
                  <c:v>316.50</c:v>
                </c:pt>
                <c:pt idx="42">
                  <c:v>323.00</c:v>
                </c:pt>
                <c:pt idx="43">
                  <c:v>329.50</c:v>
                </c:pt>
                <c:pt idx="44">
                  <c:v>336.00</c:v>
                </c:pt>
                <c:pt idx="45">
                  <c:v>342.50</c:v>
                </c:pt>
                <c:pt idx="46">
                  <c:v>349.00</c:v>
                </c:pt>
                <c:pt idx="47">
                  <c:v>355.50</c:v>
                </c:pt>
                <c:pt idx="48">
                  <c:v>362.00</c:v>
                </c:pt>
                <c:pt idx="49">
                  <c:v>368.50</c:v>
                </c:pt>
                <c:pt idx="50">
                  <c:v>375.00</c:v>
                </c:pt>
                <c:pt idx="51">
                  <c:v>381.50</c:v>
                </c:pt>
                <c:pt idx="52">
                  <c:v>388.00</c:v>
                </c:pt>
                <c:pt idx="53">
                  <c:v>394.50</c:v>
                </c:pt>
                <c:pt idx="54">
                  <c:v>401.00</c:v>
                </c:pt>
                <c:pt idx="55">
                  <c:v>407.50</c:v>
                </c:pt>
                <c:pt idx="56">
                  <c:v>414.00</c:v>
                </c:pt>
                <c:pt idx="57">
                  <c:v>420.50</c:v>
                </c:pt>
                <c:pt idx="58">
                  <c:v>427.00</c:v>
                </c:pt>
                <c:pt idx="59">
                  <c:v>433.50</c:v>
                </c:pt>
                <c:pt idx="60">
                  <c:v>440.00</c:v>
                </c:pt>
                <c:pt idx="61">
                  <c:v>446.50</c:v>
                </c:pt>
                <c:pt idx="62">
                  <c:v>453.00</c:v>
                </c:pt>
                <c:pt idx="63">
                  <c:v>459.50</c:v>
                </c:pt>
                <c:pt idx="64">
                  <c:v>466.00</c:v>
                </c:pt>
                <c:pt idx="65">
                  <c:v>472.50</c:v>
                </c:pt>
                <c:pt idx="66">
                  <c:v>479.00</c:v>
                </c:pt>
                <c:pt idx="67">
                  <c:v>485.50</c:v>
                </c:pt>
                <c:pt idx="68">
                  <c:v>492.00</c:v>
                </c:pt>
                <c:pt idx="69">
                  <c:v>498.50</c:v>
                </c:pt>
                <c:pt idx="70">
                  <c:v>505.00</c:v>
                </c:pt>
                <c:pt idx="71">
                  <c:v>511.50</c:v>
                </c:pt>
                <c:pt idx="72">
                  <c:v>518.00</c:v>
                </c:pt>
                <c:pt idx="73">
                  <c:v>524.50</c:v>
                </c:pt>
                <c:pt idx="74">
                  <c:v>531.00</c:v>
                </c:pt>
                <c:pt idx="75">
                  <c:v>537.50</c:v>
                </c:pt>
                <c:pt idx="76">
                  <c:v>544.00</c:v>
                </c:pt>
                <c:pt idx="77">
                  <c:v>550.50</c:v>
                </c:pt>
                <c:pt idx="78">
                  <c:v>557.00</c:v>
                </c:pt>
                <c:pt idx="79">
                  <c:v>563.50</c:v>
                </c:pt>
                <c:pt idx="80">
                  <c:v>570.00</c:v>
                </c:pt>
                <c:pt idx="81">
                  <c:v>576.50</c:v>
                </c:pt>
                <c:pt idx="82">
                  <c:v>583.00</c:v>
                </c:pt>
                <c:pt idx="83">
                  <c:v>589.50</c:v>
                </c:pt>
                <c:pt idx="84">
                  <c:v>596.00</c:v>
                </c:pt>
                <c:pt idx="85">
                  <c:v>602.50</c:v>
                </c:pt>
                <c:pt idx="86">
                  <c:v>609.00</c:v>
                </c:pt>
                <c:pt idx="87">
                  <c:v>615.50</c:v>
                </c:pt>
                <c:pt idx="88">
                  <c:v>622.00</c:v>
                </c:pt>
                <c:pt idx="89">
                  <c:v>628.50</c:v>
                </c:pt>
                <c:pt idx="90">
                  <c:v>635.00</c:v>
                </c:pt>
                <c:pt idx="91">
                  <c:v>641.50</c:v>
                </c:pt>
                <c:pt idx="92">
                  <c:v>648.00</c:v>
                </c:pt>
                <c:pt idx="93">
                  <c:v>654.50</c:v>
                </c:pt>
                <c:pt idx="94">
                  <c:v>661.00</c:v>
                </c:pt>
                <c:pt idx="95">
                  <c:v>667.50</c:v>
                </c:pt>
                <c:pt idx="96">
                  <c:v>674.00</c:v>
                </c:pt>
                <c:pt idx="97">
                  <c:v>680.50</c:v>
                </c:pt>
                <c:pt idx="98">
                  <c:v>687.00</c:v>
                </c:pt>
                <c:pt idx="99">
                  <c:v>693.50</c:v>
                </c:pt>
              </c:strCache>
            </c:strRef>
          </c:cat>
          <c:val>
            <c:numRef>
              <c:f>'Calculs lentille'!$O$16:$O$115</c:f>
              <c:numCache>
                <c:formatCode>0.00E+00</c:formatCode>
                <c:ptCount val="100"/>
                <c:pt idx="0">
                  <c:v>1.71141241269905E-009</c:v>
                </c:pt>
                <c:pt idx="1">
                  <c:v>8.2285046460435E-010</c:v>
                </c:pt>
                <c:pt idx="2">
                  <c:v>5.23028413698504E-010</c:v>
                </c:pt>
                <c:pt idx="3">
                  <c:v>3.76327139997883E-010</c:v>
                </c:pt>
                <c:pt idx="4">
                  <c:v>2.92368631247796E-010</c:v>
                </c:pt>
                <c:pt idx="5">
                  <c:v>2.40330109339454E-010</c:v>
                </c:pt>
                <c:pt idx="6">
                  <c:v>2.26840939002969E-010</c:v>
                </c:pt>
                <c:pt idx="7">
                  <c:v>2.230429168824E-010</c:v>
                </c:pt>
                <c:pt idx="8">
                  <c:v>2.22364132893247E-010</c:v>
                </c:pt>
                <c:pt idx="9">
                  <c:v>2.27860424513635E-010</c:v>
                </c:pt>
                <c:pt idx="10">
                  <c:v>2.35013693873445E-010</c:v>
                </c:pt>
                <c:pt idx="11">
                  <c:v>2.44054926880232E-010</c:v>
                </c:pt>
                <c:pt idx="12">
                  <c:v>2.55308142842316E-010</c:v>
                </c:pt>
                <c:pt idx="13">
                  <c:v>2.69199013281165E-010</c:v>
                </c:pt>
                <c:pt idx="14">
                  <c:v>2.86287609882061E-010</c:v>
                </c:pt>
                <c:pt idx="15">
                  <c:v>3.07319592396609E-010</c:v>
                </c:pt>
                <c:pt idx="16">
                  <c:v>3.23635283743007E-010</c:v>
                </c:pt>
                <c:pt idx="17">
                  <c:v>3.3648453919511E-010</c:v>
                </c:pt>
                <c:pt idx="18">
                  <c:v>3.51339453292054E-010</c:v>
                </c:pt>
                <c:pt idx="19">
                  <c:v>3.68454100690658E-010</c:v>
                </c:pt>
                <c:pt idx="20">
                  <c:v>3.88145581416447E-010</c:v>
                </c:pt>
                <c:pt idx="21">
                  <c:v>4.10834397116067E-010</c:v>
                </c:pt>
                <c:pt idx="22">
                  <c:v>4.37133458118725E-010</c:v>
                </c:pt>
                <c:pt idx="23">
                  <c:v>4.67802277784153E-010</c:v>
                </c:pt>
                <c:pt idx="24">
                  <c:v>4.83737085203663E-010</c:v>
                </c:pt>
                <c:pt idx="25">
                  <c:v>4.99559230052867E-010</c:v>
                </c:pt>
                <c:pt idx="26">
                  <c:v>5.16956128202555E-010</c:v>
                </c:pt>
                <c:pt idx="27">
                  <c:v>5.36120268367146E-010</c:v>
                </c:pt>
                <c:pt idx="28">
                  <c:v>5.57293065086922E-010</c:v>
                </c:pt>
                <c:pt idx="29">
                  <c:v>5.80764138080381E-010</c:v>
                </c:pt>
                <c:pt idx="30">
                  <c:v>6.06890074637451E-010</c:v>
                </c:pt>
                <c:pt idx="31">
                  <c:v>6.32486080448922E-010</c:v>
                </c:pt>
                <c:pt idx="32">
                  <c:v>6.4806051414282E-010</c:v>
                </c:pt>
                <c:pt idx="33">
                  <c:v>6.64893661606182E-010</c:v>
                </c:pt>
                <c:pt idx="34">
                  <c:v>6.83092531658209E-010</c:v>
                </c:pt>
                <c:pt idx="35">
                  <c:v>7.02800716197626E-010</c:v>
                </c:pt>
                <c:pt idx="36">
                  <c:v>7.24156443451982E-010</c:v>
                </c:pt>
                <c:pt idx="37">
                  <c:v>7.47339331400294E-010</c:v>
                </c:pt>
                <c:pt idx="38">
                  <c:v>7.72534078082724E-010</c:v>
                </c:pt>
                <c:pt idx="39">
                  <c:v>7.93590447982812E-010</c:v>
                </c:pt>
                <c:pt idx="40">
                  <c:v>8.10583436593815E-010</c:v>
                </c:pt>
                <c:pt idx="41">
                  <c:v>8.28758830023994E-010</c:v>
                </c:pt>
                <c:pt idx="42">
                  <c:v>8.48199501924686E-010</c:v>
                </c:pt>
                <c:pt idx="43">
                  <c:v>8.69002210635879E-010</c:v>
                </c:pt>
                <c:pt idx="44">
                  <c:v>8.91258914276312E-010</c:v>
                </c:pt>
                <c:pt idx="45">
                  <c:v>9.15092237896698E-010</c:v>
                </c:pt>
                <c:pt idx="46">
                  <c:v>9.40612864017994E-010</c:v>
                </c:pt>
                <c:pt idx="47">
                  <c:v>9.61450183086795E-010</c:v>
                </c:pt>
                <c:pt idx="48">
                  <c:v>9.82414617200245E-010</c:v>
                </c:pt>
                <c:pt idx="49">
                  <c:v>1.0047140021933E-009</c:v>
                </c:pt>
                <c:pt idx="50">
                  <c:v>1.02844990692635E-009</c:v>
                </c:pt>
                <c:pt idx="51">
                  <c:v>1.05370932565225E-009</c:v>
                </c:pt>
                <c:pt idx="52">
                  <c:v>1.08060811669199E-009</c:v>
                </c:pt>
                <c:pt idx="53">
                  <c:v>1.1092639646055E-009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126792"/>
        <c:axId val="68958584"/>
      </c:lineChart>
      <c:catAx>
        <c:axId val="62126792"/>
        <c:scaling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65373819852"/>
              <c:y val="0.910296191819464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8958584"/>
        <c:crossesAt val="1E-008"/>
        <c:auto val="1"/>
        <c:lblAlgn val="ctr"/>
        <c:lblOffset val="100"/>
        <c:noMultiLvlLbl val="0"/>
      </c:catAx>
      <c:valAx>
        <c:axId val="68958584"/>
        <c:scaling>
          <c:logBase val="10"/>
          <c:orientation val="minMax"/>
          <c:max val="1E-008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flux (ph/cm2/s/keV)</a:t>
                </a:r>
              </a:p>
            </c:rich>
          </c:tx>
          <c:layout>
            <c:manualLayout>
              <c:xMode val="edge"/>
              <c:yMode val="edge"/>
              <c:x val="0.0237305435059964"/>
              <c:y val="0.362858486130701"/>
            </c:manualLayout>
          </c:layout>
          <c:overlay val="0"/>
          <c:spPr>
            <a:noFill/>
            <a:ln w="2556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2126792"/>
        <c:crosses val="autoZero"/>
        <c:crossBetween val="between"/>
      </c:valAx>
      <c:spPr>
        <a:solidFill>
          <a:srgbClr val="c0c0c0"/>
        </a:solidFill>
        <a:ln w="25560">
          <a:solidFill>
            <a:srgbClr val="0000d4"/>
          </a:solidFill>
          <a:round/>
        </a:ln>
      </c:spPr>
    </c:plotArea>
    <c:plotVisOnly val="1"/>
    <c:dispBlanksAs val="zero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fr-FR" sz="1200" spc="-1" strike="noStrike">
                <a:solidFill>
                  <a:srgbClr val="000000"/>
                </a:solidFill>
                <a:latin typeface="Arial"/>
                <a:ea typeface="Arial"/>
              </a:rPr>
              <a:t>sensibilité PHEMTO lentille</a:t>
            </a:r>
          </a:p>
        </c:rich>
      </c:tx>
      <c:layout>
        <c:manualLayout>
          <c:xMode val="edge"/>
          <c:yMode val="edge"/>
          <c:x val="0.230671089563664"/>
          <c:y val="0.0422190879172544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639363783278"/>
          <c:y val="0.174141984015045"/>
          <c:w val="0.767627796206515"/>
          <c:h val="0.659144334743771"/>
        </c:manualLayout>
      </c:layout>
      <c:lineChart>
        <c:grouping val="standard"/>
        <c:varyColors val="0"/>
        <c:ser>
          <c:idx val="0"/>
          <c:order val="0"/>
          <c:tx>
            <c:strRef>
              <c:f>"sensibilité"</c:f>
              <c:strCache>
                <c:ptCount val="1"/>
                <c:pt idx="0">
                  <c:v>sensibilité</c:v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95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'Calculs lentille'!$B$16:$B$115</c:f>
              <c:strCache>
                <c:ptCount val="100"/>
                <c:pt idx="0">
                  <c:v>50.00</c:v>
                </c:pt>
                <c:pt idx="1">
                  <c:v>56.50</c:v>
                </c:pt>
                <c:pt idx="2">
                  <c:v>63.00</c:v>
                </c:pt>
                <c:pt idx="3">
                  <c:v>69.50</c:v>
                </c:pt>
                <c:pt idx="4">
                  <c:v>76.00</c:v>
                </c:pt>
                <c:pt idx="5">
                  <c:v>82.50</c:v>
                </c:pt>
                <c:pt idx="6">
                  <c:v>89.00</c:v>
                </c:pt>
                <c:pt idx="7">
                  <c:v>95.50</c:v>
                </c:pt>
                <c:pt idx="8">
                  <c:v>102.00</c:v>
                </c:pt>
                <c:pt idx="9">
                  <c:v>108.50</c:v>
                </c:pt>
                <c:pt idx="10">
                  <c:v>115.00</c:v>
                </c:pt>
                <c:pt idx="11">
                  <c:v>121.50</c:v>
                </c:pt>
                <c:pt idx="12">
                  <c:v>128.00</c:v>
                </c:pt>
                <c:pt idx="13">
                  <c:v>134.50</c:v>
                </c:pt>
                <c:pt idx="14">
                  <c:v>141.00</c:v>
                </c:pt>
                <c:pt idx="15">
                  <c:v>147.50</c:v>
                </c:pt>
                <c:pt idx="16">
                  <c:v>154.00</c:v>
                </c:pt>
                <c:pt idx="17">
                  <c:v>160.50</c:v>
                </c:pt>
                <c:pt idx="18">
                  <c:v>167.00</c:v>
                </c:pt>
                <c:pt idx="19">
                  <c:v>173.50</c:v>
                </c:pt>
                <c:pt idx="20">
                  <c:v>180.00</c:v>
                </c:pt>
                <c:pt idx="21">
                  <c:v>186.50</c:v>
                </c:pt>
                <c:pt idx="22">
                  <c:v>193.00</c:v>
                </c:pt>
                <c:pt idx="23">
                  <c:v>199.50</c:v>
                </c:pt>
                <c:pt idx="24">
                  <c:v>206.00</c:v>
                </c:pt>
                <c:pt idx="25">
                  <c:v>212.50</c:v>
                </c:pt>
                <c:pt idx="26">
                  <c:v>219.00</c:v>
                </c:pt>
                <c:pt idx="27">
                  <c:v>225.50</c:v>
                </c:pt>
                <c:pt idx="28">
                  <c:v>232.00</c:v>
                </c:pt>
                <c:pt idx="29">
                  <c:v>238.50</c:v>
                </c:pt>
                <c:pt idx="30">
                  <c:v>245.00</c:v>
                </c:pt>
                <c:pt idx="31">
                  <c:v>251.50</c:v>
                </c:pt>
                <c:pt idx="32">
                  <c:v>258.00</c:v>
                </c:pt>
                <c:pt idx="33">
                  <c:v>264.50</c:v>
                </c:pt>
                <c:pt idx="34">
                  <c:v>271.00</c:v>
                </c:pt>
                <c:pt idx="35">
                  <c:v>277.50</c:v>
                </c:pt>
                <c:pt idx="36">
                  <c:v>284.00</c:v>
                </c:pt>
                <c:pt idx="37">
                  <c:v>290.50</c:v>
                </c:pt>
                <c:pt idx="38">
                  <c:v>297.00</c:v>
                </c:pt>
                <c:pt idx="39">
                  <c:v>303.50</c:v>
                </c:pt>
                <c:pt idx="40">
                  <c:v>310.00</c:v>
                </c:pt>
                <c:pt idx="41">
                  <c:v>316.50</c:v>
                </c:pt>
                <c:pt idx="42">
                  <c:v>323.00</c:v>
                </c:pt>
                <c:pt idx="43">
                  <c:v>329.50</c:v>
                </c:pt>
                <c:pt idx="44">
                  <c:v>336.00</c:v>
                </c:pt>
                <c:pt idx="45">
                  <c:v>342.50</c:v>
                </c:pt>
                <c:pt idx="46">
                  <c:v>349.00</c:v>
                </c:pt>
                <c:pt idx="47">
                  <c:v>355.50</c:v>
                </c:pt>
                <c:pt idx="48">
                  <c:v>362.00</c:v>
                </c:pt>
                <c:pt idx="49">
                  <c:v>368.50</c:v>
                </c:pt>
                <c:pt idx="50">
                  <c:v>375.00</c:v>
                </c:pt>
                <c:pt idx="51">
                  <c:v>381.50</c:v>
                </c:pt>
                <c:pt idx="52">
                  <c:v>388.00</c:v>
                </c:pt>
                <c:pt idx="53">
                  <c:v>394.50</c:v>
                </c:pt>
                <c:pt idx="54">
                  <c:v>401.00</c:v>
                </c:pt>
                <c:pt idx="55">
                  <c:v>407.50</c:v>
                </c:pt>
                <c:pt idx="56">
                  <c:v>414.00</c:v>
                </c:pt>
                <c:pt idx="57">
                  <c:v>420.50</c:v>
                </c:pt>
                <c:pt idx="58">
                  <c:v>427.00</c:v>
                </c:pt>
                <c:pt idx="59">
                  <c:v>433.50</c:v>
                </c:pt>
                <c:pt idx="60">
                  <c:v>440.00</c:v>
                </c:pt>
                <c:pt idx="61">
                  <c:v>446.50</c:v>
                </c:pt>
                <c:pt idx="62">
                  <c:v>453.00</c:v>
                </c:pt>
                <c:pt idx="63">
                  <c:v>459.50</c:v>
                </c:pt>
                <c:pt idx="64">
                  <c:v>466.00</c:v>
                </c:pt>
                <c:pt idx="65">
                  <c:v>472.50</c:v>
                </c:pt>
                <c:pt idx="66">
                  <c:v>479.00</c:v>
                </c:pt>
                <c:pt idx="67">
                  <c:v>485.50</c:v>
                </c:pt>
                <c:pt idx="68">
                  <c:v>492.00</c:v>
                </c:pt>
                <c:pt idx="69">
                  <c:v>498.50</c:v>
                </c:pt>
                <c:pt idx="70">
                  <c:v>505.00</c:v>
                </c:pt>
                <c:pt idx="71">
                  <c:v>511.50</c:v>
                </c:pt>
                <c:pt idx="72">
                  <c:v>518.00</c:v>
                </c:pt>
                <c:pt idx="73">
                  <c:v>524.50</c:v>
                </c:pt>
                <c:pt idx="74">
                  <c:v>531.00</c:v>
                </c:pt>
                <c:pt idx="75">
                  <c:v>537.50</c:v>
                </c:pt>
                <c:pt idx="76">
                  <c:v>544.00</c:v>
                </c:pt>
                <c:pt idx="77">
                  <c:v>550.50</c:v>
                </c:pt>
                <c:pt idx="78">
                  <c:v>557.00</c:v>
                </c:pt>
                <c:pt idx="79">
                  <c:v>563.50</c:v>
                </c:pt>
                <c:pt idx="80">
                  <c:v>570.00</c:v>
                </c:pt>
                <c:pt idx="81">
                  <c:v>576.50</c:v>
                </c:pt>
                <c:pt idx="82">
                  <c:v>583.00</c:v>
                </c:pt>
                <c:pt idx="83">
                  <c:v>589.50</c:v>
                </c:pt>
                <c:pt idx="84">
                  <c:v>596.00</c:v>
                </c:pt>
                <c:pt idx="85">
                  <c:v>602.50</c:v>
                </c:pt>
                <c:pt idx="86">
                  <c:v>609.00</c:v>
                </c:pt>
                <c:pt idx="87">
                  <c:v>615.50</c:v>
                </c:pt>
                <c:pt idx="88">
                  <c:v>622.00</c:v>
                </c:pt>
                <c:pt idx="89">
                  <c:v>628.50</c:v>
                </c:pt>
                <c:pt idx="90">
                  <c:v>635.00</c:v>
                </c:pt>
                <c:pt idx="91">
                  <c:v>641.50</c:v>
                </c:pt>
                <c:pt idx="92">
                  <c:v>648.00</c:v>
                </c:pt>
                <c:pt idx="93">
                  <c:v>654.50</c:v>
                </c:pt>
                <c:pt idx="94">
                  <c:v>661.00</c:v>
                </c:pt>
                <c:pt idx="95">
                  <c:v>667.50</c:v>
                </c:pt>
                <c:pt idx="96">
                  <c:v>674.00</c:v>
                </c:pt>
                <c:pt idx="97">
                  <c:v>680.50</c:v>
                </c:pt>
                <c:pt idx="98">
                  <c:v>687.00</c:v>
                </c:pt>
                <c:pt idx="99">
                  <c:v>693.50</c:v>
                </c:pt>
              </c:strCache>
            </c:strRef>
          </c:cat>
          <c:val>
            <c:numRef>
              <c:f>'Calculs lentille'!$P$16:$P$115</c:f>
              <c:numCache>
                <c:formatCode>0.00E+00</c:formatCode>
                <c:ptCount val="100"/>
                <c:pt idx="0">
                  <c:v>6.8549652964116E-015</c:v>
                </c:pt>
                <c:pt idx="1">
                  <c:v>4.20851024358579E-015</c:v>
                </c:pt>
                <c:pt idx="2">
                  <c:v>3.32595949492884E-015</c:v>
                </c:pt>
                <c:pt idx="3">
                  <c:v>2.91236446490957E-015</c:v>
                </c:pt>
                <c:pt idx="4">
                  <c:v>2.70563079523906E-015</c:v>
                </c:pt>
                <c:pt idx="5">
                  <c:v>2.62075640222886E-015</c:v>
                </c:pt>
                <c:pt idx="6">
                  <c:v>2.87880351259862E-015</c:v>
                </c:pt>
                <c:pt idx="7">
                  <c:v>3.25916053957008E-015</c:v>
                </c:pt>
                <c:pt idx="8">
                  <c:v>3.70659943404396E-015</c:v>
                </c:pt>
                <c:pt idx="9">
                  <c:v>4.29772826655215E-015</c:v>
                </c:pt>
                <c:pt idx="10">
                  <c:v>4.97965693291184E-015</c:v>
                </c:pt>
                <c:pt idx="11">
                  <c:v>5.77232412704141E-015</c:v>
                </c:pt>
                <c:pt idx="12">
                  <c:v>6.70185735728524E-015</c:v>
                </c:pt>
                <c:pt idx="13">
                  <c:v>7.80240710418725E-015</c:v>
                </c:pt>
                <c:pt idx="14">
                  <c:v>9.11908685881679E-015</c:v>
                </c:pt>
                <c:pt idx="15">
                  <c:v>1.07123527044998E-014</c:v>
                </c:pt>
                <c:pt idx="16">
                  <c:v>1.22972465283644E-014</c:v>
                </c:pt>
                <c:pt idx="17">
                  <c:v>1.38875540362363E-014</c:v>
                </c:pt>
                <c:pt idx="18">
                  <c:v>1.56989439077212E-014</c:v>
                </c:pt>
                <c:pt idx="19">
                  <c:v>1.7770225005968E-014</c:v>
                </c:pt>
                <c:pt idx="20">
                  <c:v>2.01488484843597E-014</c:v>
                </c:pt>
                <c:pt idx="21">
                  <c:v>2.28947045956996E-014</c:v>
                </c:pt>
                <c:pt idx="22">
                  <c:v>2.60879071963413E-014</c:v>
                </c:pt>
                <c:pt idx="23">
                  <c:v>2.98303745516393E-014</c:v>
                </c:pt>
                <c:pt idx="24">
                  <c:v>3.28892824410294E-014</c:v>
                </c:pt>
                <c:pt idx="25">
                  <c:v>3.61422703869526E-014</c:v>
                </c:pt>
                <c:pt idx="26">
                  <c:v>3.97239559781228E-014</c:v>
                </c:pt>
                <c:pt idx="27">
                  <c:v>4.36783167077591E-014</c:v>
                </c:pt>
                <c:pt idx="28">
                  <c:v>4.80584968252971E-014</c:v>
                </c:pt>
                <c:pt idx="29">
                  <c:v>5.29282009069024E-014</c:v>
                </c:pt>
                <c:pt idx="30">
                  <c:v>5.83650387082952E-014</c:v>
                </c:pt>
                <c:pt idx="31">
                  <c:v>6.40969737202147E-014</c:v>
                </c:pt>
                <c:pt idx="32">
                  <c:v>6.91139233803323E-014</c:v>
                </c:pt>
                <c:pt idx="33">
                  <c:v>7.45270824258728E-014</c:v>
                </c:pt>
                <c:pt idx="34">
                  <c:v>8.03764263941068E-014</c:v>
                </c:pt>
                <c:pt idx="35">
                  <c:v>8.67099118224615E-014</c:v>
                </c:pt>
                <c:pt idx="36">
                  <c:v>9.35792701498679E-014</c:v>
                </c:pt>
                <c:pt idx="37">
                  <c:v>1.01046363108278E-013</c:v>
                </c:pt>
                <c:pt idx="38">
                  <c:v>1.09179504519236E-013</c:v>
                </c:pt>
                <c:pt idx="39">
                  <c:v>1.17118202114941E-013</c:v>
                </c:pt>
                <c:pt idx="40">
                  <c:v>1.2480491449738E-013</c:v>
                </c:pt>
                <c:pt idx="41">
                  <c:v>1.33010575215104E-013</c:v>
                </c:pt>
                <c:pt idx="42">
                  <c:v>1.41779562546928E-013</c:v>
                </c:pt>
                <c:pt idx="43">
                  <c:v>1.51161883052064E-013</c:v>
                </c:pt>
                <c:pt idx="44">
                  <c:v>1.61210385199714E-013</c:v>
                </c:pt>
                <c:pt idx="45">
                  <c:v>1.7198738666118E-013</c:v>
                </c:pt>
                <c:pt idx="46">
                  <c:v>1.83557587928564E-013</c:v>
                </c:pt>
                <c:pt idx="47">
                  <c:v>1.94677863254851E-013</c:v>
                </c:pt>
                <c:pt idx="48">
                  <c:v>2.06263570357051E-013</c:v>
                </c:pt>
                <c:pt idx="49">
                  <c:v>2.18588854152943E-013</c:v>
                </c:pt>
                <c:pt idx="50">
                  <c:v>2.31716122743447E-013</c:v>
                </c:pt>
                <c:pt idx="51">
                  <c:v>2.4570867080525E-013</c:v>
                </c:pt>
                <c:pt idx="52">
                  <c:v>2.60640710446298E-013</c:v>
                </c:pt>
                <c:pt idx="53">
                  <c:v>2.76591923250814E-013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134090"/>
        <c:axId val="80429462"/>
      </c:lineChart>
      <c:catAx>
        <c:axId val="77134090"/>
        <c:scaling>
          <c:orientation val="minMax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65373819852"/>
              <c:y val="0.910296191819464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0429462"/>
        <c:crossesAt val="1E-008"/>
        <c:auto val="1"/>
        <c:lblAlgn val="ctr"/>
        <c:lblOffset val="100"/>
        <c:noMultiLvlLbl val="0"/>
      </c:catAx>
      <c:valAx>
        <c:axId val="80429462"/>
        <c:scaling>
          <c:logBase val="10"/>
          <c:orientation val="minMax"/>
          <c:max val="1E-011"/>
          <c:min val="1E-015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fr-FR" sz="9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flux (erg/cm2/s)</a:t>
                </a:r>
              </a:p>
            </c:rich>
          </c:tx>
          <c:layout>
            <c:manualLayout>
              <c:xMode val="edge"/>
              <c:yMode val="edge"/>
              <c:x val="0.0237305435059964"/>
              <c:y val="0.362858486130701"/>
            </c:manualLayout>
          </c:layout>
          <c:overlay val="0"/>
          <c:spPr>
            <a:noFill/>
            <a:ln w="2556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5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7134090"/>
        <c:crosses val="autoZero"/>
        <c:crossBetween val="between"/>
      </c:valAx>
      <c:spPr>
        <a:solidFill>
          <a:srgbClr val="c0c0c0"/>
        </a:solidFill>
        <a:ln w="25560">
          <a:solidFill>
            <a:srgbClr val="0000d4"/>
          </a:solidFill>
          <a:round/>
        </a:ln>
      </c:spPr>
    </c:plotArea>
    <c:plotVisOnly val="1"/>
    <c:dispBlanksAs val="zero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400" spc="-1" strike="noStrike">
                <a:solidFill>
                  <a:srgbClr val="595959"/>
                </a:solidFill>
                <a:latin typeface="Calibri"/>
              </a:rPr>
              <a:t>MDP</a:t>
            </a:r>
          </a:p>
        </c:rich>
      </c:tx>
      <c:layout>
        <c:manualLayout>
          <c:xMode val="edge"/>
          <c:yMode val="edge"/>
          <c:x val="0.860546010329925"/>
          <c:y val="0.0604182804027885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MDP!$P$12:$P$19</c:f>
              <c:strCache>
                <c:ptCount val="8"/>
                <c:pt idx="0">
                  <c:v>63</c:v>
                </c:pt>
                <c:pt idx="1">
                  <c:v>89</c:v>
                </c:pt>
                <c:pt idx="2">
                  <c:v>128</c:v>
                </c:pt>
                <c:pt idx="3">
                  <c:v>180</c:v>
                </c:pt>
                <c:pt idx="4">
                  <c:v>232</c:v>
                </c:pt>
                <c:pt idx="5">
                  <c:v>284</c:v>
                </c:pt>
                <c:pt idx="6">
                  <c:v>336</c:v>
                </c:pt>
                <c:pt idx="7">
                  <c:v>388</c:v>
                </c:pt>
              </c:strCache>
            </c:strRef>
          </c:cat>
          <c:val>
            <c:numRef>
              <c:f>MDP!$T$12:$T$19</c:f>
              <c:numCache>
                <c:formatCode>0.00</c:formatCode>
                <c:ptCount val="8"/>
                <c:pt idx="0">
                  <c:v>0.121363697500298</c:v>
                </c:pt>
                <c:pt idx="1">
                  <c:v>0.121323424321667</c:v>
                </c:pt>
                <c:pt idx="2">
                  <c:v>0.212396339416816</c:v>
                </c:pt>
                <c:pt idx="3">
                  <c:v>0.485335238355916</c:v>
                </c:pt>
                <c:pt idx="4">
                  <c:v>1.0398260425265</c:v>
                </c:pt>
                <c:pt idx="5">
                  <c:v>2.02771585047328</c:v>
                </c:pt>
                <c:pt idx="6">
                  <c:v>3.6533449756217</c:v>
                </c:pt>
                <c:pt idx="7">
                  <c:v>6.21562989025997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802438"/>
        <c:axId val="19589142"/>
      </c:lineChart>
      <c:catAx>
        <c:axId val="788024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9589142"/>
        <c:crosses val="autoZero"/>
        <c:auto val="1"/>
        <c:lblAlgn val="ctr"/>
        <c:lblOffset val="100"/>
        <c:noMultiLvlLbl val="0"/>
      </c:catAx>
      <c:valAx>
        <c:axId val="195891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8024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438120</xdr:colOff>
      <xdr:row>13</xdr:row>
      <xdr:rowOff>139320</xdr:rowOff>
    </xdr:from>
    <xdr:to>
      <xdr:col>22</xdr:col>
      <xdr:colOff>313560</xdr:colOff>
      <xdr:row>38</xdr:row>
      <xdr:rowOff>129600</xdr:rowOff>
    </xdr:to>
    <xdr:graphicFrame>
      <xdr:nvGraphicFramePr>
        <xdr:cNvPr id="0" name="Graphique 1"/>
        <xdr:cNvGraphicFramePr/>
      </xdr:nvGraphicFramePr>
      <xdr:xfrm>
        <a:off x="12105000" y="2238120"/>
        <a:ext cx="4268520" cy="381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428760</xdr:colOff>
      <xdr:row>39</xdr:row>
      <xdr:rowOff>82800</xdr:rowOff>
    </xdr:from>
    <xdr:to>
      <xdr:col>22</xdr:col>
      <xdr:colOff>304200</xdr:colOff>
      <xdr:row>64</xdr:row>
      <xdr:rowOff>100800</xdr:rowOff>
    </xdr:to>
    <xdr:graphicFrame>
      <xdr:nvGraphicFramePr>
        <xdr:cNvPr id="1" name="Graphique 1"/>
        <xdr:cNvGraphicFramePr/>
      </xdr:nvGraphicFramePr>
      <xdr:xfrm>
        <a:off x="12095640" y="6162840"/>
        <a:ext cx="4268520" cy="382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666720</xdr:colOff>
      <xdr:row>11</xdr:row>
      <xdr:rowOff>54000</xdr:rowOff>
    </xdr:from>
    <xdr:to>
      <xdr:col>22</xdr:col>
      <xdr:colOff>551880</xdr:colOff>
      <xdr:row>35</xdr:row>
      <xdr:rowOff>64800</xdr:rowOff>
    </xdr:to>
    <xdr:graphicFrame>
      <xdr:nvGraphicFramePr>
        <xdr:cNvPr id="2" name="Graphique 2"/>
        <xdr:cNvGraphicFramePr/>
      </xdr:nvGraphicFramePr>
      <xdr:xfrm>
        <a:off x="13034160" y="1847880"/>
        <a:ext cx="4232160" cy="382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657360</xdr:colOff>
      <xdr:row>36</xdr:row>
      <xdr:rowOff>27360</xdr:rowOff>
    </xdr:from>
    <xdr:to>
      <xdr:col>22</xdr:col>
      <xdr:colOff>542520</xdr:colOff>
      <xdr:row>61</xdr:row>
      <xdr:rowOff>45720</xdr:rowOff>
    </xdr:to>
    <xdr:graphicFrame>
      <xdr:nvGraphicFramePr>
        <xdr:cNvPr id="3" name="Graphique 3"/>
        <xdr:cNvGraphicFramePr/>
      </xdr:nvGraphicFramePr>
      <xdr:xfrm>
        <a:off x="13024800" y="5791320"/>
        <a:ext cx="4232160" cy="382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28440</xdr:colOff>
      <xdr:row>24</xdr:row>
      <xdr:rowOff>3600</xdr:rowOff>
    </xdr:from>
    <xdr:to>
      <xdr:col>19</xdr:col>
      <xdr:colOff>246960</xdr:colOff>
      <xdr:row>39</xdr:row>
      <xdr:rowOff>41040</xdr:rowOff>
    </xdr:to>
    <xdr:graphicFrame>
      <xdr:nvGraphicFramePr>
        <xdr:cNvPr id="4" name="Graphique 2"/>
        <xdr:cNvGraphicFramePr/>
      </xdr:nvGraphicFramePr>
      <xdr:xfrm>
        <a:off x="10184040" y="3934080"/>
        <a:ext cx="3414960" cy="232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28440</xdr:colOff>
      <xdr:row>26</xdr:row>
      <xdr:rowOff>85680</xdr:rowOff>
    </xdr:from>
    <xdr:to>
      <xdr:col>10</xdr:col>
      <xdr:colOff>189720</xdr:colOff>
      <xdr:row>31</xdr:row>
      <xdr:rowOff>76680</xdr:rowOff>
    </xdr:to>
    <xdr:sp>
      <xdr:nvSpPr>
        <xdr:cNvPr id="5" name="Rectangle 1"/>
        <xdr:cNvSpPr/>
      </xdr:nvSpPr>
      <xdr:spPr>
        <a:xfrm>
          <a:off x="6197400" y="4048200"/>
          <a:ext cx="1564560" cy="7801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7</xdr:col>
      <xdr:colOff>619200</xdr:colOff>
      <xdr:row>2</xdr:row>
      <xdr:rowOff>0</xdr:rowOff>
    </xdr:from>
    <xdr:to>
      <xdr:col>10</xdr:col>
      <xdr:colOff>50040</xdr:colOff>
      <xdr:row>13</xdr:row>
      <xdr:rowOff>27720</xdr:rowOff>
    </xdr:to>
    <xdr:sp>
      <xdr:nvSpPr>
        <xdr:cNvPr id="6" name="Rectangle 2"/>
        <xdr:cNvSpPr/>
      </xdr:nvSpPr>
      <xdr:spPr>
        <a:xfrm>
          <a:off x="6086520" y="304920"/>
          <a:ext cx="1535760" cy="1703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8</xdr:col>
      <xdr:colOff>190440</xdr:colOff>
      <xdr:row>18</xdr:row>
      <xdr:rowOff>123840</xdr:rowOff>
    </xdr:from>
    <xdr:to>
      <xdr:col>8</xdr:col>
      <xdr:colOff>504000</xdr:colOff>
      <xdr:row>26</xdr:row>
      <xdr:rowOff>75600</xdr:rowOff>
    </xdr:to>
    <xdr:sp>
      <xdr:nvSpPr>
        <xdr:cNvPr id="7" name="AutoShape 4"/>
        <xdr:cNvSpPr/>
      </xdr:nvSpPr>
      <xdr:spPr>
        <a:xfrm>
          <a:off x="6359400" y="2867040"/>
          <a:ext cx="313560" cy="1171080"/>
        </a:xfrm>
        <a:custGeom>
          <a:avLst/>
          <a:gdLst>
            <a:gd name="textAreaLeft" fmla="*/ 65160 w 313560"/>
            <a:gd name="textAreaRight" fmla="*/ 248760 w 313560"/>
            <a:gd name="textAreaTop" fmla="*/ 244080 h 1171080"/>
            <a:gd name="textAreaBottom" fmla="*/ 927360 h 1171080"/>
          </a:gdLst>
          <a:ah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close/>
            </a:path>
          </a:pathLst>
        </a:custGeom>
        <a:solidFill>
          <a:srgbClr val="0000d4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390240</xdr:colOff>
      <xdr:row>13</xdr:row>
      <xdr:rowOff>28440</xdr:rowOff>
    </xdr:from>
    <xdr:to>
      <xdr:col>8</xdr:col>
      <xdr:colOff>66600</xdr:colOff>
      <xdr:row>13</xdr:row>
      <xdr:rowOff>28440</xdr:rowOff>
    </xdr:to>
    <xdr:sp>
      <xdr:nvSpPr>
        <xdr:cNvPr id="8" name="Line 5"/>
        <xdr:cNvSpPr/>
      </xdr:nvSpPr>
      <xdr:spPr>
        <a:xfrm flipH="1">
          <a:off x="5155920" y="2009520"/>
          <a:ext cx="1079640" cy="0"/>
        </a:xfrm>
        <a:prstGeom prst="line">
          <a:avLst/>
        </a:prstGeom>
        <a:ln w="38100">
          <a:solidFill>
            <a:srgbClr val="dd0806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8</xdr:col>
      <xdr:colOff>542880</xdr:colOff>
      <xdr:row>13</xdr:row>
      <xdr:rowOff>9360</xdr:rowOff>
    </xdr:from>
    <xdr:to>
      <xdr:col>9</xdr:col>
      <xdr:colOff>133200</xdr:colOff>
      <xdr:row>13</xdr:row>
      <xdr:rowOff>18720</xdr:rowOff>
    </xdr:to>
    <xdr:sp>
      <xdr:nvSpPr>
        <xdr:cNvPr id="9" name="Line 6"/>
        <xdr:cNvSpPr/>
      </xdr:nvSpPr>
      <xdr:spPr>
        <a:xfrm flipH="1">
          <a:off x="6711840" y="1990440"/>
          <a:ext cx="291960" cy="9360"/>
        </a:xfrm>
        <a:prstGeom prst="line">
          <a:avLst/>
        </a:prstGeom>
        <a:ln w="38100">
          <a:solidFill>
            <a:srgbClr val="dd0806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8</xdr:col>
      <xdr:colOff>66600</xdr:colOff>
      <xdr:row>1</xdr:row>
      <xdr:rowOff>142920</xdr:rowOff>
    </xdr:from>
    <xdr:to>
      <xdr:col>8</xdr:col>
      <xdr:colOff>551520</xdr:colOff>
      <xdr:row>13</xdr:row>
      <xdr:rowOff>28080</xdr:rowOff>
    </xdr:to>
    <xdr:sp>
      <xdr:nvSpPr>
        <xdr:cNvPr id="10" name="Rectangle 7"/>
        <xdr:cNvSpPr/>
      </xdr:nvSpPr>
      <xdr:spPr>
        <a:xfrm>
          <a:off x="6235560" y="295200"/>
          <a:ext cx="484920" cy="1713960"/>
        </a:xfrm>
        <a:prstGeom prst="rect">
          <a:avLst/>
        </a:prstGeom>
        <a:pattFill prst="ltDnDiag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10</xdr:col>
      <xdr:colOff>456840</xdr:colOff>
      <xdr:row>13</xdr:row>
      <xdr:rowOff>95040</xdr:rowOff>
    </xdr:from>
    <xdr:to>
      <xdr:col>10</xdr:col>
      <xdr:colOff>695160</xdr:colOff>
      <xdr:row>14</xdr:row>
      <xdr:rowOff>133200</xdr:rowOff>
    </xdr:to>
    <xdr:sp>
      <xdr:nvSpPr>
        <xdr:cNvPr id="11" name="Line 8"/>
        <xdr:cNvSpPr/>
      </xdr:nvSpPr>
      <xdr:spPr>
        <a:xfrm flipH="1" flipV="1">
          <a:off x="8029080" y="2076120"/>
          <a:ext cx="238320" cy="190800"/>
        </a:xfrm>
        <a:prstGeom prst="line">
          <a:avLst/>
        </a:prstGeom>
        <a:ln w="9525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10</xdr:col>
      <xdr:colOff>37800</xdr:colOff>
      <xdr:row>19</xdr:row>
      <xdr:rowOff>133200</xdr:rowOff>
    </xdr:from>
    <xdr:to>
      <xdr:col>12</xdr:col>
      <xdr:colOff>47520</xdr:colOff>
      <xdr:row>23</xdr:row>
      <xdr:rowOff>9360</xdr:rowOff>
    </xdr:to>
    <xdr:sp>
      <xdr:nvSpPr>
        <xdr:cNvPr id="12" name="Line 9"/>
        <xdr:cNvSpPr/>
      </xdr:nvSpPr>
      <xdr:spPr>
        <a:xfrm flipH="1">
          <a:off x="7610040" y="3028680"/>
          <a:ext cx="1459080" cy="486000"/>
        </a:xfrm>
        <a:prstGeom prst="line">
          <a:avLst/>
        </a:prstGeom>
        <a:ln w="9525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8</xdr:col>
      <xdr:colOff>523800</xdr:colOff>
      <xdr:row>4</xdr:row>
      <xdr:rowOff>9360</xdr:rowOff>
    </xdr:from>
    <xdr:to>
      <xdr:col>11</xdr:col>
      <xdr:colOff>152280</xdr:colOff>
      <xdr:row>8</xdr:row>
      <xdr:rowOff>47520</xdr:rowOff>
    </xdr:to>
    <xdr:sp>
      <xdr:nvSpPr>
        <xdr:cNvPr id="13" name="Line 10"/>
        <xdr:cNvSpPr/>
      </xdr:nvSpPr>
      <xdr:spPr>
        <a:xfrm flipH="1">
          <a:off x="6692760" y="618840"/>
          <a:ext cx="1733400" cy="648000"/>
        </a:xfrm>
        <a:prstGeom prst="line">
          <a:avLst/>
        </a:prstGeom>
        <a:ln w="9525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8</xdr:col>
      <xdr:colOff>257040</xdr:colOff>
      <xdr:row>26</xdr:row>
      <xdr:rowOff>19080</xdr:rowOff>
    </xdr:from>
    <xdr:to>
      <xdr:col>8</xdr:col>
      <xdr:colOff>418320</xdr:colOff>
      <xdr:row>26</xdr:row>
      <xdr:rowOff>94680</xdr:rowOff>
    </xdr:to>
    <xdr:sp>
      <xdr:nvSpPr>
        <xdr:cNvPr id="14" name="Rectangle 11"/>
        <xdr:cNvSpPr/>
      </xdr:nvSpPr>
      <xdr:spPr>
        <a:xfrm>
          <a:off x="6426000" y="3981600"/>
          <a:ext cx="161280" cy="75600"/>
        </a:xfrm>
        <a:prstGeom prst="rect">
          <a:avLst/>
        </a:prstGeom>
        <a:solidFill>
          <a:srgbClr val="dd0806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10</xdr:col>
      <xdr:colOff>50760</xdr:colOff>
      <xdr:row>25</xdr:row>
      <xdr:rowOff>85680</xdr:rowOff>
    </xdr:from>
    <xdr:to>
      <xdr:col>12</xdr:col>
      <xdr:colOff>85680</xdr:colOff>
      <xdr:row>26</xdr:row>
      <xdr:rowOff>47520</xdr:rowOff>
    </xdr:to>
    <xdr:sp>
      <xdr:nvSpPr>
        <xdr:cNvPr id="15" name="Line 12"/>
        <xdr:cNvSpPr/>
      </xdr:nvSpPr>
      <xdr:spPr>
        <a:xfrm flipH="1">
          <a:off x="7623000" y="3895560"/>
          <a:ext cx="1484280" cy="114480"/>
        </a:xfrm>
        <a:prstGeom prst="line">
          <a:avLst/>
        </a:prstGeom>
        <a:ln w="9525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9</xdr:col>
      <xdr:colOff>438120</xdr:colOff>
      <xdr:row>18</xdr:row>
      <xdr:rowOff>133200</xdr:rowOff>
    </xdr:from>
    <xdr:to>
      <xdr:col>10</xdr:col>
      <xdr:colOff>50040</xdr:colOff>
      <xdr:row>26</xdr:row>
      <xdr:rowOff>84960</xdr:rowOff>
    </xdr:to>
    <xdr:sp>
      <xdr:nvSpPr>
        <xdr:cNvPr id="16" name="AutoShape 4"/>
        <xdr:cNvSpPr/>
      </xdr:nvSpPr>
      <xdr:spPr>
        <a:xfrm>
          <a:off x="7308720" y="2876400"/>
          <a:ext cx="313560" cy="1171080"/>
        </a:xfrm>
        <a:custGeom>
          <a:avLst/>
          <a:gdLst>
            <a:gd name="textAreaLeft" fmla="*/ 65160 w 313560"/>
            <a:gd name="textAreaRight" fmla="*/ 248760 w 313560"/>
            <a:gd name="textAreaTop" fmla="*/ 244080 h 1171080"/>
            <a:gd name="textAreaBottom" fmla="*/ 927360 h 1171080"/>
          </a:gdLst>
          <a:ah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close/>
            </a:path>
          </a:pathLst>
        </a:custGeom>
        <a:solidFill>
          <a:srgbClr val="0000d4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9</xdr:col>
      <xdr:colOff>504720</xdr:colOff>
      <xdr:row>26</xdr:row>
      <xdr:rowOff>28440</xdr:rowOff>
    </xdr:from>
    <xdr:to>
      <xdr:col>9</xdr:col>
      <xdr:colOff>666000</xdr:colOff>
      <xdr:row>26</xdr:row>
      <xdr:rowOff>104040</xdr:rowOff>
    </xdr:to>
    <xdr:sp>
      <xdr:nvSpPr>
        <xdr:cNvPr id="17" name="Rectangle 11"/>
        <xdr:cNvSpPr/>
      </xdr:nvSpPr>
      <xdr:spPr>
        <a:xfrm>
          <a:off x="7375320" y="3990960"/>
          <a:ext cx="161280" cy="75600"/>
        </a:xfrm>
        <a:prstGeom prst="rect">
          <a:avLst/>
        </a:prstGeom>
        <a:solidFill>
          <a:srgbClr val="dd0806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9</xdr:col>
      <xdr:colOff>133200</xdr:colOff>
      <xdr:row>12</xdr:row>
      <xdr:rowOff>76320</xdr:rowOff>
    </xdr:from>
    <xdr:to>
      <xdr:col>10</xdr:col>
      <xdr:colOff>160920</xdr:colOff>
      <xdr:row>13</xdr:row>
      <xdr:rowOff>37440</xdr:rowOff>
    </xdr:to>
    <xdr:sp>
      <xdr:nvSpPr>
        <xdr:cNvPr id="18" name="Rectangle 1"/>
        <xdr:cNvSpPr/>
      </xdr:nvSpPr>
      <xdr:spPr>
        <a:xfrm>
          <a:off x="7003800" y="1905120"/>
          <a:ext cx="729360" cy="113400"/>
        </a:xfrm>
        <a:prstGeom prst="rect">
          <a:avLst/>
        </a:prstGeom>
        <a:solidFill>
          <a:srgbClr val="d0cece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10</xdr:col>
      <xdr:colOff>161640</xdr:colOff>
      <xdr:row>13</xdr:row>
      <xdr:rowOff>0</xdr:rowOff>
    </xdr:from>
    <xdr:to>
      <xdr:col>11</xdr:col>
      <xdr:colOff>599760</xdr:colOff>
      <xdr:row>13</xdr:row>
      <xdr:rowOff>0</xdr:rowOff>
    </xdr:to>
    <xdr:sp>
      <xdr:nvSpPr>
        <xdr:cNvPr id="19" name="Line 5"/>
        <xdr:cNvSpPr/>
      </xdr:nvSpPr>
      <xdr:spPr>
        <a:xfrm flipH="1">
          <a:off x="7733880" y="1981080"/>
          <a:ext cx="1139760" cy="0"/>
        </a:xfrm>
        <a:prstGeom prst="line">
          <a:avLst/>
        </a:prstGeom>
        <a:ln w="38100">
          <a:solidFill>
            <a:srgbClr val="dd0806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9</xdr:col>
      <xdr:colOff>504720</xdr:colOff>
      <xdr:row>7</xdr:row>
      <xdr:rowOff>123480</xdr:rowOff>
    </xdr:from>
    <xdr:to>
      <xdr:col>12</xdr:col>
      <xdr:colOff>133200</xdr:colOff>
      <xdr:row>12</xdr:row>
      <xdr:rowOff>9360</xdr:rowOff>
    </xdr:to>
    <xdr:sp>
      <xdr:nvSpPr>
        <xdr:cNvPr id="20" name="Line 10"/>
        <xdr:cNvSpPr/>
      </xdr:nvSpPr>
      <xdr:spPr>
        <a:xfrm flipH="1">
          <a:off x="7375320" y="1190160"/>
          <a:ext cx="1779480" cy="648000"/>
        </a:xfrm>
        <a:prstGeom prst="line">
          <a:avLst/>
        </a:prstGeom>
        <a:ln w="9525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Y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4296875" defaultRowHeight="12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12.85"/>
    <col collapsed="false" customWidth="true" hidden="false" outlineLevel="0" max="3" min="3" style="1" width="8.71"/>
    <col collapsed="false" customWidth="true" hidden="false" outlineLevel="0" max="4" min="4" style="1" width="9.43"/>
    <col collapsed="false" customWidth="true" hidden="false" outlineLevel="0" max="5" min="5" style="1" width="9.85"/>
    <col collapsed="false" customWidth="true" hidden="false" outlineLevel="0" max="6" min="6" style="1" width="11.86"/>
    <col collapsed="false" customWidth="true" hidden="false" outlineLevel="0" max="7" min="7" style="1" width="12.85"/>
    <col collapsed="false" customWidth="true" hidden="false" outlineLevel="0" max="8" min="8" style="1" width="14.43"/>
    <col collapsed="false" customWidth="true" hidden="false" outlineLevel="0" max="9" min="9" style="1" width="13.14"/>
    <col collapsed="false" customWidth="true" hidden="false" outlineLevel="0" max="10" min="10" style="1" width="8.71"/>
    <col collapsed="false" customWidth="true" hidden="false" outlineLevel="0" max="11" min="11" style="1" width="10"/>
    <col collapsed="false" customWidth="true" hidden="false" outlineLevel="0" max="12" min="12" style="1" width="9.28"/>
    <col collapsed="false" customWidth="true" hidden="false" outlineLevel="0" max="13" min="13" style="1" width="12.14"/>
    <col collapsed="false" customWidth="true" hidden="false" outlineLevel="0" max="14" min="14" style="1" width="12.28"/>
    <col collapsed="false" customWidth="true" hidden="false" outlineLevel="0" max="15" min="15" style="2" width="12.14"/>
    <col collapsed="false" customWidth="true" hidden="false" outlineLevel="0" max="16" min="16" style="2" width="9.28"/>
    <col collapsed="false" customWidth="true" hidden="false" outlineLevel="0" max="17" min="17" style="3" width="10.73"/>
    <col collapsed="false" customWidth="false" hidden="false" outlineLevel="0" max="18" min="18" style="1" width="11.43"/>
    <col collapsed="false" customWidth="true" hidden="false" outlineLevel="0" max="19" min="19" style="3" width="10.73"/>
    <col collapsed="false" customWidth="false" hidden="false" outlineLevel="0" max="16384" min="20" style="1" width="11.43"/>
  </cols>
  <sheetData>
    <row r="1" customFormat="false" ht="12" hidden="false" customHeight="false" outlineLevel="0" collapsed="false">
      <c r="F1" s="4"/>
      <c r="G1" s="5"/>
      <c r="H1" s="5"/>
      <c r="I1" s="5"/>
      <c r="J1" s="5"/>
      <c r="K1" s="5"/>
      <c r="L1" s="5"/>
      <c r="M1" s="6"/>
    </row>
    <row r="2" customFormat="false" ht="17.35" hidden="false" customHeight="false" outlineLevel="0" collapsed="false">
      <c r="B2" s="7" t="s">
        <v>0</v>
      </c>
      <c r="C2" s="7"/>
      <c r="D2" s="7"/>
      <c r="E2" s="7"/>
      <c r="F2" s="8" t="s">
        <v>1</v>
      </c>
      <c r="G2" s="8"/>
      <c r="H2" s="8"/>
      <c r="I2" s="8"/>
      <c r="J2" s="8"/>
      <c r="K2" s="8"/>
      <c r="L2" s="9" t="s">
        <v>2</v>
      </c>
      <c r="M2" s="10"/>
    </row>
    <row r="3" customFormat="false" ht="12" hidden="false" customHeight="false" outlineLevel="0" collapsed="false">
      <c r="F3" s="11"/>
      <c r="G3" s="12"/>
      <c r="H3" s="12"/>
      <c r="I3" s="12"/>
      <c r="J3" s="12"/>
      <c r="K3" s="12"/>
      <c r="L3" s="12"/>
      <c r="M3" s="13"/>
    </row>
    <row r="4" customFormat="false" ht="12.65" hidden="false" customHeight="false" outlineLevel="0" collapsed="false">
      <c r="B4" s="14" t="s">
        <v>3</v>
      </c>
      <c r="C4" s="1" t="n">
        <v>11.3</v>
      </c>
      <c r="D4" s="1" t="s">
        <v>4</v>
      </c>
      <c r="E4" s="2" t="s">
        <v>5</v>
      </c>
      <c r="F4" s="15" t="n">
        <v>202</v>
      </c>
      <c r="G4" s="1" t="s">
        <v>6</v>
      </c>
      <c r="H4" s="1" t="s">
        <v>7</v>
      </c>
      <c r="I4" s="1" t="n">
        <v>1</v>
      </c>
      <c r="J4" s="1" t="s">
        <v>4</v>
      </c>
      <c r="K4" s="16" t="s">
        <v>8</v>
      </c>
      <c r="L4" s="15" t="n">
        <v>10</v>
      </c>
      <c r="M4" s="1" t="s">
        <v>9</v>
      </c>
      <c r="N4" s="17" t="s">
        <v>10</v>
      </c>
      <c r="O4" s="15" t="n">
        <v>0.5</v>
      </c>
      <c r="P4" s="18"/>
      <c r="S4" s="19"/>
      <c r="T4" s="20" t="s">
        <v>11</v>
      </c>
    </row>
    <row r="5" customFormat="false" ht="12.65" hidden="false" customHeight="false" outlineLevel="0" collapsed="false">
      <c r="B5" s="14" t="s">
        <v>12</v>
      </c>
      <c r="C5" s="1" t="n">
        <v>16.65</v>
      </c>
      <c r="D5" s="1" t="s">
        <v>4</v>
      </c>
      <c r="E5" s="2" t="s">
        <v>13</v>
      </c>
      <c r="F5" s="15" t="n">
        <f aca="false">15.2/2</f>
        <v>7.6</v>
      </c>
      <c r="G5" s="1" t="s">
        <v>6</v>
      </c>
      <c r="H5" s="1" t="s">
        <v>14</v>
      </c>
      <c r="I5" s="1" t="n">
        <v>6.2</v>
      </c>
      <c r="J5" s="1" t="s">
        <v>4</v>
      </c>
      <c r="K5" s="1" t="s">
        <v>15</v>
      </c>
      <c r="L5" s="15" t="n">
        <v>50</v>
      </c>
      <c r="M5" s="1" t="s">
        <v>16</v>
      </c>
      <c r="N5" s="1" t="s">
        <v>17</v>
      </c>
      <c r="O5" s="15" t="n">
        <v>3</v>
      </c>
      <c r="P5" s="18"/>
      <c r="S5" s="1" t="s">
        <v>18</v>
      </c>
      <c r="T5" s="21" t="n">
        <f aca="false">SUM(P20:P28)</f>
        <v>1.03103031807313E-014</v>
      </c>
    </row>
    <row r="6" customFormat="false" ht="12.65" hidden="false" customHeight="false" outlineLevel="0" collapsed="false">
      <c r="B6" s="14" t="s">
        <v>19</v>
      </c>
      <c r="C6" s="15" t="n">
        <v>0.13</v>
      </c>
      <c r="D6" s="1" t="s">
        <v>6</v>
      </c>
      <c r="E6" s="22" t="s">
        <v>20</v>
      </c>
      <c r="F6" s="15" t="n">
        <v>190</v>
      </c>
      <c r="G6" s="1" t="s">
        <v>6</v>
      </c>
      <c r="H6" s="1" t="s">
        <v>21</v>
      </c>
      <c r="I6" s="15" t="n">
        <v>0.045</v>
      </c>
      <c r="J6" s="1" t="s">
        <v>6</v>
      </c>
      <c r="K6" s="2" t="s">
        <v>22</v>
      </c>
      <c r="L6" s="15" t="n">
        <v>2000</v>
      </c>
      <c r="M6" s="1" t="s">
        <v>6</v>
      </c>
      <c r="N6" s="1" t="s">
        <v>23</v>
      </c>
      <c r="O6" s="15" t="n">
        <v>1000000</v>
      </c>
      <c r="P6" s="18"/>
      <c r="S6" s="1" t="s">
        <v>24</v>
      </c>
      <c r="T6" s="23" t="n">
        <f aca="false">SUM(P29:P40)</f>
        <v>4.86400348706446E-014</v>
      </c>
    </row>
    <row r="7" customFormat="false" ht="12.65" hidden="false" customHeight="false" outlineLevel="0" collapsed="false">
      <c r="B7" s="24" t="s">
        <v>25</v>
      </c>
      <c r="C7" s="25" t="n">
        <v>0.01</v>
      </c>
      <c r="D7" s="1" t="s">
        <v>6</v>
      </c>
      <c r="H7" s="1" t="s">
        <v>26</v>
      </c>
      <c r="I7" s="15" t="n">
        <v>0.2</v>
      </c>
      <c r="J7" s="1" t="s">
        <v>6</v>
      </c>
      <c r="K7" s="2" t="s">
        <v>27</v>
      </c>
      <c r="L7" s="15" t="n">
        <v>37.5</v>
      </c>
      <c r="M7" s="1" t="s">
        <v>6</v>
      </c>
      <c r="N7" s="26" t="s">
        <v>28</v>
      </c>
      <c r="S7" s="1" t="s">
        <v>29</v>
      </c>
      <c r="T7" s="23" t="n">
        <f aca="false">SUM(P41:P65)</f>
        <v>4.62998154405107E-013</v>
      </c>
    </row>
    <row r="8" s="1" customFormat="true" ht="12.65" hidden="false" customHeight="false" outlineLevel="0" collapsed="false">
      <c r="B8" s="27" t="s">
        <v>30</v>
      </c>
      <c r="C8" s="27"/>
      <c r="D8" s="28" t="n">
        <f aca="false">2*3.1415928*(1-$L$6/SQRT($L$6*$L$6+$L$7*$L$7))</f>
        <v>0.00110417508736268</v>
      </c>
      <c r="E8" s="14" t="s">
        <v>31</v>
      </c>
      <c r="H8" s="1" t="s">
        <v>32</v>
      </c>
      <c r="I8" s="15" t="n">
        <v>0.013</v>
      </c>
      <c r="J8" s="1" t="s">
        <v>6</v>
      </c>
      <c r="K8" s="26" t="s">
        <v>33</v>
      </c>
      <c r="Q8" s="3"/>
      <c r="S8" s="1" t="s">
        <v>34</v>
      </c>
      <c r="T8" s="29" t="n">
        <f aca="false">SUM(P66:P115)</f>
        <v>5.89249575309166E-012</v>
      </c>
    </row>
    <row r="9" customFormat="false" ht="12.65" hidden="false" customHeight="false" outlineLevel="0" collapsed="false">
      <c r="B9" s="27" t="s">
        <v>35</v>
      </c>
      <c r="C9" s="27"/>
      <c r="D9" s="28" t="n">
        <f aca="false">2*3.1415928*(1-$L$6/SQRT($L$6*$L$6+$F$6*$F$6))</f>
        <v>0.0281623935406968</v>
      </c>
      <c r="E9" s="14" t="s">
        <v>31</v>
      </c>
      <c r="L9" s="30" t="s">
        <v>36</v>
      </c>
      <c r="M9" s="30"/>
      <c r="N9" s="31" t="n">
        <f aca="false">$L$6*TAN($L$4*PI()/180/3600/2)</f>
        <v>0.0484813681204497</v>
      </c>
      <c r="O9" s="1" t="s">
        <v>6</v>
      </c>
      <c r="P9" s="1"/>
      <c r="S9" s="1" t="s">
        <v>37</v>
      </c>
      <c r="T9" s="32" t="n">
        <f aca="false">SUM(P20:P115)</f>
        <v>6.41444424554814E-012</v>
      </c>
    </row>
    <row r="10" customFormat="false" ht="12" hidden="false" customHeight="false" outlineLevel="0" collapsed="false">
      <c r="B10" s="27" t="s">
        <v>38</v>
      </c>
      <c r="C10" s="27"/>
      <c r="D10" s="28" t="n">
        <f aca="false">2*3.1415928-$D$11</f>
        <v>0.00444235809871785</v>
      </c>
      <c r="E10" s="1" t="s">
        <v>31</v>
      </c>
      <c r="F10" s="2"/>
      <c r="G10" s="2"/>
      <c r="H10" s="2"/>
      <c r="I10" s="1" t="s">
        <v>39</v>
      </c>
      <c r="J10" s="31" t="n">
        <f aca="false">3.1415928*$C$6*(3+$F$5-$C$6)*$C$4*$F$4/1000</f>
        <v>9.76044772607861</v>
      </c>
      <c r="K10" s="1" t="s">
        <v>40</v>
      </c>
      <c r="L10" s="30" t="s">
        <v>41</v>
      </c>
      <c r="M10" s="30"/>
      <c r="N10" s="28" t="n">
        <f aca="false">3.1415928*$L$6*TAN($L$4*PI()/180/3600/2)*$L$6*TAN($L$4*PI()/180/3600/2)</f>
        <v>0.00738413497786567</v>
      </c>
      <c r="O10" s="1" t="s">
        <v>42</v>
      </c>
      <c r="P10" s="33"/>
      <c r="S10" s="1"/>
    </row>
    <row r="11" customFormat="false" ht="12" hidden="false" customHeight="false" outlineLevel="0" collapsed="false">
      <c r="B11" s="27" t="s">
        <v>43</v>
      </c>
      <c r="C11" s="27"/>
      <c r="D11" s="28" t="n">
        <f aca="false">2*3.1415928*$F$4/SQRT($F$4*$F$4+$F$5*$F$5)</f>
        <v>6.27874324190128</v>
      </c>
      <c r="E11" s="1" t="s">
        <v>31</v>
      </c>
      <c r="F11" s="30" t="s">
        <v>44</v>
      </c>
      <c r="G11" s="30"/>
      <c r="H11" s="30"/>
      <c r="I11" s="1" t="s">
        <v>45</v>
      </c>
      <c r="J11" s="31" t="n">
        <f aca="false">3.1415928*($F$6*$F$6-$L$7*$L$7)*$C$7*$C$5/1000</f>
        <v>18.1474402616325</v>
      </c>
      <c r="K11" s="1" t="s">
        <v>40</v>
      </c>
      <c r="L11" s="30" t="s">
        <v>46</v>
      </c>
      <c r="M11" s="30"/>
      <c r="N11" s="34" t="n">
        <f aca="false">INT($N$10/$I$8/$I$8)</f>
        <v>43</v>
      </c>
    </row>
    <row r="12" customFormat="false" ht="12" hidden="false" customHeight="false" outlineLevel="0" collapsed="false">
      <c r="B12" s="27" t="s">
        <v>47</v>
      </c>
      <c r="C12" s="27"/>
      <c r="D12" s="34" t="n">
        <f aca="false">MAX(2*3.1415928-$D$11-$D$9,0)</f>
        <v>0</v>
      </c>
      <c r="E12" s="1" t="s">
        <v>31</v>
      </c>
      <c r="I12" s="1" t="s">
        <v>48</v>
      </c>
      <c r="J12" s="31" t="n">
        <f aca="false">SUM(J10:J11)</f>
        <v>27.9078879877111</v>
      </c>
      <c r="K12" s="1" t="s">
        <v>40</v>
      </c>
      <c r="O12" s="1"/>
      <c r="P12" s="1"/>
    </row>
    <row r="13" customFormat="false" ht="12" hidden="false" customHeight="false" outlineLevel="0" collapsed="false">
      <c r="B13" s="35"/>
      <c r="C13" s="2"/>
      <c r="D13" s="36"/>
      <c r="J13" s="37"/>
      <c r="O13" s="1"/>
      <c r="P13" s="1"/>
    </row>
    <row r="14" customFormat="false" ht="12.75" hidden="false" customHeight="true" outlineLevel="0" collapsed="false">
      <c r="B14" s="38" t="s">
        <v>49</v>
      </c>
      <c r="C14" s="39" t="s">
        <v>50</v>
      </c>
      <c r="D14" s="39" t="s">
        <v>51</v>
      </c>
      <c r="E14" s="39" t="s">
        <v>52</v>
      </c>
      <c r="F14" s="40" t="s">
        <v>53</v>
      </c>
      <c r="G14" s="40" t="s">
        <v>54</v>
      </c>
      <c r="H14" s="40" t="s">
        <v>55</v>
      </c>
      <c r="I14" s="40" t="s">
        <v>56</v>
      </c>
      <c r="J14" s="40" t="s">
        <v>57</v>
      </c>
      <c r="K14" s="38" t="s">
        <v>58</v>
      </c>
      <c r="L14" s="38" t="s">
        <v>59</v>
      </c>
      <c r="M14" s="38" t="s">
        <v>60</v>
      </c>
      <c r="N14" s="38" t="s">
        <v>61</v>
      </c>
      <c r="O14" s="38" t="s">
        <v>62</v>
      </c>
      <c r="P14" s="38"/>
    </row>
    <row r="15" customFormat="false" ht="12.75" hidden="false" customHeight="true" outlineLevel="0" collapsed="false">
      <c r="B15" s="38"/>
      <c r="C15" s="39"/>
      <c r="D15" s="39"/>
      <c r="E15" s="39"/>
      <c r="F15" s="40"/>
      <c r="G15" s="40"/>
      <c r="H15" s="40"/>
      <c r="I15" s="40"/>
      <c r="J15" s="40"/>
      <c r="K15" s="38"/>
      <c r="L15" s="38"/>
      <c r="M15" s="38"/>
      <c r="N15" s="38"/>
      <c r="O15" s="38"/>
      <c r="P15" s="38"/>
    </row>
    <row r="16" customFormat="false" ht="12" hidden="false" customHeight="false" outlineLevel="0" collapsed="false">
      <c r="B16" s="20" t="s">
        <v>63</v>
      </c>
      <c r="C16" s="20" t="s">
        <v>64</v>
      </c>
      <c r="D16" s="20" t="s">
        <v>65</v>
      </c>
      <c r="E16" s="20" t="s">
        <v>65</v>
      </c>
      <c r="F16" s="20"/>
      <c r="G16" s="20"/>
      <c r="H16" s="20" t="s">
        <v>65</v>
      </c>
      <c r="I16" s="20" t="s">
        <v>65</v>
      </c>
      <c r="J16" s="20"/>
      <c r="K16" s="41" t="s">
        <v>66</v>
      </c>
      <c r="L16" s="20" t="s">
        <v>67</v>
      </c>
      <c r="M16" s="20" t="s">
        <v>67</v>
      </c>
      <c r="N16" s="20" t="s">
        <v>67</v>
      </c>
      <c r="O16" s="20" t="s">
        <v>68</v>
      </c>
      <c r="P16" s="20" t="s">
        <v>11</v>
      </c>
    </row>
    <row r="17" customFormat="false" ht="12" hidden="false" customHeight="false" outlineLevel="0" collapsed="false">
      <c r="B17" s="42" t="n">
        <v>1.60606061</v>
      </c>
      <c r="C17" s="43" t="n">
        <v>666.7371</v>
      </c>
      <c r="D17" s="43" t="n">
        <v>1360</v>
      </c>
      <c r="E17" s="43" t="n">
        <v>2040</v>
      </c>
      <c r="F17" s="43" t="n">
        <f aca="false">EXP(-$C$5*$C$6*E17)</f>
        <v>0</v>
      </c>
      <c r="G17" s="43" t="n">
        <f aca="false">EXP(-1*D17*$C$5*$C$7)</f>
        <v>4.55362767457515E-099</v>
      </c>
      <c r="H17" s="44" t="n">
        <v>445</v>
      </c>
      <c r="I17" s="44" t="n">
        <v>2800</v>
      </c>
      <c r="J17" s="45" t="n">
        <v>1</v>
      </c>
      <c r="K17" s="46" t="n">
        <f aca="false">MIN(167*POWER(B17,-2.38),11.6*POWER(B17,-1.41))</f>
        <v>5.94748926487983</v>
      </c>
      <c r="L17" s="47" t="n">
        <f aca="false">K17*$N$10*J17*(G17*($D$10-$D$8)+MAX(G17*F17*($D$9-$D$10),0)+F17*$D$11+$D$12)</f>
        <v>6.67576367399223E-103</v>
      </c>
      <c r="M17" s="47" t="n">
        <f aca="false">0.0000198*$K$120</f>
        <v>7.326E-006</v>
      </c>
      <c r="N17" s="47" t="n">
        <f aca="false">L17+M17</f>
        <v>7.326E-006</v>
      </c>
      <c r="O17" s="48" t="n">
        <f aca="false">100*$O$5*SQRT(N17)/(C17*J17*SQRT(($O$4*B17)*$O$6))/$L$5</f>
        <v>2.71809178673234E-008</v>
      </c>
      <c r="P17" s="49" t="n">
        <f aca="false">O17*B17*B17*0.0000000016021773</f>
        <v>1.12330722981666E-016</v>
      </c>
    </row>
    <row r="18" customFormat="false" ht="12" hidden="false" customHeight="false" outlineLevel="0" collapsed="false">
      <c r="B18" s="50" t="n">
        <v>2.40909091</v>
      </c>
      <c r="C18" s="51" t="n">
        <v>601.338925</v>
      </c>
      <c r="D18" s="51" t="n">
        <v>2760</v>
      </c>
      <c r="E18" s="51" t="n">
        <v>856</v>
      </c>
      <c r="F18" s="51" t="n">
        <f aca="false">EXP(-$C$5*$C$6*E18)</f>
        <v>0</v>
      </c>
      <c r="G18" s="51" t="n">
        <f aca="false">EXP(-1*D18*$C$5*$C$7)</f>
        <v>2.65652425900395E-200</v>
      </c>
      <c r="H18" s="52" t="n">
        <v>1810</v>
      </c>
      <c r="I18" s="52" t="n">
        <v>1050</v>
      </c>
      <c r="J18" s="53" t="n">
        <v>1</v>
      </c>
      <c r="K18" s="54" t="n">
        <f aca="false">MIN(167*POWER(B18,-2.38),11.6*POWER(B18,-1.41))</f>
        <v>3.35772398391778</v>
      </c>
      <c r="L18" s="55" t="n">
        <f aca="false">K18*$N$10*J18*(G18*($D$10-$D$8)+MAX(G18*F18*($D$9-$D$10),0)+F18*$D$11+$D$12)</f>
        <v>2.19871302097231E-204</v>
      </c>
      <c r="M18" s="55" t="n">
        <f aca="false">0.0000198*$K$120</f>
        <v>7.326E-006</v>
      </c>
      <c r="N18" s="55" t="n">
        <f aca="false">L18+M18</f>
        <v>7.326E-006</v>
      </c>
      <c r="O18" s="56" t="n">
        <f aca="false">100*$O$5*SQRT(N18)/(C18*J18*SQRT(($O$4*B18)*$O$6))/$L$5</f>
        <v>2.46067237728376E-008</v>
      </c>
      <c r="P18" s="57" t="n">
        <f aca="false">O18*B18*B18*0.0000000016021773</f>
        <v>2.28807758283627E-016</v>
      </c>
    </row>
    <row r="19" customFormat="false" ht="12" hidden="false" customHeight="false" outlineLevel="0" collapsed="false">
      <c r="B19" s="50" t="n">
        <v>3.21212121</v>
      </c>
      <c r="C19" s="51" t="n">
        <v>614.651874</v>
      </c>
      <c r="D19" s="51" t="n">
        <v>1560</v>
      </c>
      <c r="E19" s="51" t="n">
        <v>1920</v>
      </c>
      <c r="F19" s="51" t="n">
        <f aca="false">EXP(-$C$5*$C$6*E19)</f>
        <v>0</v>
      </c>
      <c r="G19" s="51" t="n">
        <f aca="false">EXP(-1*D19*$C$5*$C$7)</f>
        <v>1.57163347484722E-113</v>
      </c>
      <c r="H19" s="52" t="n">
        <v>811</v>
      </c>
      <c r="I19" s="52" t="n">
        <v>518</v>
      </c>
      <c r="J19" s="53" t="n">
        <v>1</v>
      </c>
      <c r="K19" s="54" t="n">
        <f aca="false">MIN(167*POWER(B19,-2.38),11.6*POWER(B19,-1.41))</f>
        <v>2.23810972763011</v>
      </c>
      <c r="L19" s="55" t="n">
        <f aca="false">K19*$N$10*J19*(G19*($D$10-$D$8)+MAX(G19*F19*($D$9-$D$10),0)+F19*$D$11+$D$12)</f>
        <v>8.67046550262256E-118</v>
      </c>
      <c r="M19" s="55" t="n">
        <f aca="false">0.0000198*$K$120</f>
        <v>7.326E-006</v>
      </c>
      <c r="N19" s="55" t="n">
        <f aca="false">L19+M19</f>
        <v>7.326E-006</v>
      </c>
      <c r="O19" s="56" t="n">
        <f aca="false">100*$O$5*SQRT(N19)/(C19*J19*SQRT(($O$4*B19)*$O$6))/$L$5</f>
        <v>2.08484864999079E-008</v>
      </c>
      <c r="P19" s="57" t="n">
        <f aca="false">O19*B19*B19*0.0000000016021773</f>
        <v>3.44642599408578E-016</v>
      </c>
    </row>
    <row r="20" customFormat="false" ht="12" hidden="false" customHeight="false" outlineLevel="0" collapsed="false">
      <c r="B20" s="50" t="n">
        <v>4.01515152</v>
      </c>
      <c r="C20" s="51" t="n">
        <v>626.217033</v>
      </c>
      <c r="D20" s="51" t="n">
        <v>914</v>
      </c>
      <c r="E20" s="58" t="n">
        <v>1236</v>
      </c>
      <c r="F20" s="51" t="n">
        <f aca="false">EXP(-$C$5*$C$6*E20)</f>
        <v>0</v>
      </c>
      <c r="G20" s="51" t="n">
        <f aca="false">EXP(-1*D20*$C$5*$C$7)</f>
        <v>8.10273152874117E-067</v>
      </c>
      <c r="H20" s="52" t="n">
        <v>448</v>
      </c>
      <c r="I20" s="58" t="n">
        <v>788.2</v>
      </c>
      <c r="J20" s="53" t="n">
        <v>0.998580756666667</v>
      </c>
      <c r="K20" s="54" t="n">
        <f aca="false">MIN(167*POWER(B20,-2.38),11.6*POWER(B20,-1.41))</f>
        <v>1.63394809124023</v>
      </c>
      <c r="L20" s="55" t="n">
        <f aca="false">K20*$N$10*J20*(G20*($D$10-$D$8)+MAX(G20*F20*($D$9-$D$10),0)+F20*$D$11+$D$12)</f>
        <v>3.25883721234318E-071</v>
      </c>
      <c r="M20" s="55" t="n">
        <f aca="false">0.0000198*$K$120</f>
        <v>7.326E-006</v>
      </c>
      <c r="N20" s="55" t="n">
        <f aca="false">L20+M20</f>
        <v>7.326E-006</v>
      </c>
      <c r="O20" s="56" t="n">
        <f aca="false">100*$O$5*SQRT(N20)/(C20*J20*SQRT(($O$4*B20)*$O$6))/$L$5</f>
        <v>1.83290800137909E-008</v>
      </c>
      <c r="P20" s="57" t="n">
        <f aca="false">O20*B20*B20*0.0000000016021773</f>
        <v>4.73429285588363E-016</v>
      </c>
    </row>
    <row r="21" customFormat="false" ht="12" hidden="false" customHeight="false" outlineLevel="0" collapsed="false">
      <c r="B21" s="50" t="n">
        <v>4.81818182</v>
      </c>
      <c r="C21" s="51" t="n">
        <v>632.637359</v>
      </c>
      <c r="D21" s="51" t="n">
        <v>584</v>
      </c>
      <c r="E21" s="58" t="n">
        <v>797.9</v>
      </c>
      <c r="F21" s="51" t="n">
        <f aca="false">EXP(-$C$5*$C$6*E21)</f>
        <v>0</v>
      </c>
      <c r="G21" s="51" t="n">
        <f aca="false">EXP(-1*D21*$C$5*$C$7)</f>
        <v>5.90121934819407E-043</v>
      </c>
      <c r="H21" s="52" t="n">
        <v>272</v>
      </c>
      <c r="I21" s="58" t="n">
        <v>843.2</v>
      </c>
      <c r="J21" s="53" t="n">
        <v>0.998491023333333</v>
      </c>
      <c r="K21" s="54" t="n">
        <f aca="false">MIN(167*POWER(B21,-2.38),11.6*POWER(B21,-1.41))</f>
        <v>1.26355077637409</v>
      </c>
      <c r="L21" s="55" t="n">
        <f aca="false">K21*$N$10*J21*(G21*($D$10-$D$8)+MAX(G21*F21*($D$9-$D$10),0)+F21*$D$11+$D$12)</f>
        <v>1.83522108722466E-047</v>
      </c>
      <c r="M21" s="55" t="n">
        <f aca="false">0.0000198*$K$120</f>
        <v>7.326E-006</v>
      </c>
      <c r="N21" s="55" t="n">
        <f aca="false">L21+M21</f>
        <v>7.326E-006</v>
      </c>
      <c r="O21" s="56" t="n">
        <f aca="false">100*$O$5*SQRT(N21)/(C21*J21*SQRT(($O$4*B21)*$O$6))/$L$5</f>
        <v>1.65637670345221E-008</v>
      </c>
      <c r="P21" s="57" t="n">
        <f aca="false">O21*B21*B21*0.0000000016021773</f>
        <v>6.16078505840715E-016</v>
      </c>
    </row>
    <row r="22" customFormat="false" ht="12" hidden="false" customHeight="false" outlineLevel="0" collapsed="false">
      <c r="B22" s="50" t="n">
        <v>5.62121212</v>
      </c>
      <c r="C22" s="51" t="n">
        <v>637.381401</v>
      </c>
      <c r="D22" s="51" t="n">
        <v>398</v>
      </c>
      <c r="E22" s="58" t="n">
        <v>548.4</v>
      </c>
      <c r="F22" s="51" t="n">
        <f aca="false">EXP(-$C$5*$C$6*E22)</f>
        <v>0</v>
      </c>
      <c r="G22" s="51" t="n">
        <f aca="false">EXP(-1*D22*$C$5*$C$7)</f>
        <v>1.66191025507807E-029</v>
      </c>
      <c r="H22" s="52" t="n">
        <v>177</v>
      </c>
      <c r="I22" s="58" t="n">
        <v>619.6</v>
      </c>
      <c r="J22" s="53" t="n">
        <v>0.99840129</v>
      </c>
      <c r="K22" s="54" t="n">
        <f aca="false">MIN(167*POWER(B22,-2.38),11.6*POWER(B22,-1.41))</f>
        <v>1.01671147667417</v>
      </c>
      <c r="L22" s="55" t="n">
        <f aca="false">K22*$N$10*J22*(G22*($D$10-$D$8)+MAX(G22*F22*($D$9-$D$10),0)+F22*$D$11+$D$12)</f>
        <v>4.15834192094858E-034</v>
      </c>
      <c r="M22" s="55" t="n">
        <f aca="false">0.0000198*$K$120</f>
        <v>7.326E-006</v>
      </c>
      <c r="N22" s="55" t="n">
        <f aca="false">L22+M22</f>
        <v>7.326E-006</v>
      </c>
      <c r="O22" s="56" t="n">
        <f aca="false">100*$O$5*SQRT(N22)/(C22*J22*SQRT(($O$4*B22)*$O$6))/$L$5</f>
        <v>1.52222972560286E-008</v>
      </c>
      <c r="P22" s="57" t="n">
        <f aca="false">O22*B22*B22*0.0000000016021773</f>
        <v>7.70638533218269E-016</v>
      </c>
    </row>
    <row r="23" customFormat="false" ht="12" hidden="false" customHeight="false" outlineLevel="0" collapsed="false">
      <c r="B23" s="50" t="n">
        <v>6.42424242</v>
      </c>
      <c r="C23" s="51" t="n">
        <v>640.975988</v>
      </c>
      <c r="D23" s="51" t="n">
        <v>285</v>
      </c>
      <c r="E23" s="58" t="n">
        <v>394.8</v>
      </c>
      <c r="F23" s="51" t="n">
        <f aca="false">EXP(-$C$5*$C$6*E23)</f>
        <v>0</v>
      </c>
      <c r="G23" s="51" t="n">
        <f aca="false">EXP(-1*D23*$C$5*$C$7)</f>
        <v>2.4640022353509E-021</v>
      </c>
      <c r="H23" s="52" t="n">
        <v>121</v>
      </c>
      <c r="I23" s="58" t="n">
        <v>438.9</v>
      </c>
      <c r="J23" s="53" t="n">
        <v>0.998311556666667</v>
      </c>
      <c r="K23" s="54" t="n">
        <f aca="false">MIN(167*POWER(B23,-2.38),11.6*POWER(B23,-1.41))</f>
        <v>0.842226846966072</v>
      </c>
      <c r="L23" s="55" t="n">
        <f aca="false">K23*$N$10*J23*(G23*($D$10-$D$8)+MAX(G23*F23*($D$9-$D$10),0)+F23*$D$11+$D$12)</f>
        <v>5.10676703660912E-026</v>
      </c>
      <c r="M23" s="55" t="n">
        <f aca="false">0.0000198*$K$120</f>
        <v>7.326E-006</v>
      </c>
      <c r="N23" s="55" t="n">
        <f aca="false">L23+M23</f>
        <v>7.326E-006</v>
      </c>
      <c r="O23" s="56" t="n">
        <f aca="false">100*$O$5*SQRT(N23)/(C23*J23*SQRT(($O$4*B23)*$O$6))/$L$5</f>
        <v>1.41605749146095E-008</v>
      </c>
      <c r="P23" s="57" t="n">
        <f aca="false">O23*B23*B23*0.0000000016021773</f>
        <v>9.36343719283891E-016</v>
      </c>
    </row>
    <row r="24" customFormat="false" ht="12" hidden="false" customHeight="false" outlineLevel="0" collapsed="false">
      <c r="B24" s="50" t="n">
        <v>7.22727273</v>
      </c>
      <c r="C24" s="51" t="n">
        <v>643.87141</v>
      </c>
      <c r="D24" s="51" t="n">
        <v>212</v>
      </c>
      <c r="E24" s="58" t="n">
        <v>293.9</v>
      </c>
      <c r="F24" s="51" t="n">
        <f aca="false">EXP(-$C$5*$C$6*E24)</f>
        <v>5.30962260036657E-277</v>
      </c>
      <c r="G24" s="51" t="n">
        <f aca="false">EXP(-1*D24*$C$5*$C$7)</f>
        <v>4.68029661832328E-016</v>
      </c>
      <c r="H24" s="52" t="n">
        <v>86.6</v>
      </c>
      <c r="I24" s="58" t="n">
        <v>321</v>
      </c>
      <c r="J24" s="53" t="n">
        <v>0.998220701666667</v>
      </c>
      <c r="K24" s="54" t="n">
        <f aca="false">MIN(167*POWER(B24,-2.38),11.6*POWER(B24,-1.41))</f>
        <v>0.713352230724736</v>
      </c>
      <c r="L24" s="55" t="n">
        <f aca="false">K24*$N$10*J24*(G24*($D$10-$D$8)+MAX(G24*F24*($D$9-$D$10),0)+F24*$D$11+$D$12)</f>
        <v>8.21511681104076E-021</v>
      </c>
      <c r="M24" s="55" t="n">
        <f aca="false">0.0000198*$K$120</f>
        <v>7.326E-006</v>
      </c>
      <c r="N24" s="55" t="n">
        <f aca="false">L24+M24</f>
        <v>7.32600000000001E-006</v>
      </c>
      <c r="O24" s="56" t="n">
        <f aca="false">100*$O$5*SQRT(N24)/(C24*J24*SQRT(($O$4*B24)*$O$6))/$L$5</f>
        <v>1.32918909590931E-008</v>
      </c>
      <c r="P24" s="57" t="n">
        <f aca="false">O24*B24*B24*0.0000000016021773</f>
        <v>1.11236222326838E-015</v>
      </c>
    </row>
    <row r="25" customFormat="false" ht="12" hidden="false" customHeight="false" outlineLevel="0" collapsed="false">
      <c r="B25" s="50" t="n">
        <v>8.03030303</v>
      </c>
      <c r="C25" s="51" t="n">
        <v>646.354918</v>
      </c>
      <c r="D25" s="51" t="n">
        <v>162</v>
      </c>
      <c r="E25" s="58" t="n">
        <v>226.5</v>
      </c>
      <c r="F25" s="51" t="n">
        <f aca="false">EXP(-$C$5*$C$6*E25)</f>
        <v>1.21091322667675E-213</v>
      </c>
      <c r="G25" s="51" t="n">
        <f aca="false">EXP(-1*D25*$C$5*$C$7)</f>
        <v>1.93096739047842E-012</v>
      </c>
      <c r="H25" s="52" t="n">
        <v>64</v>
      </c>
      <c r="I25" s="58" t="n">
        <v>243.5</v>
      </c>
      <c r="J25" s="53" t="n">
        <v>0.998130968333333</v>
      </c>
      <c r="K25" s="54" t="n">
        <f aca="false">MIN(167*POWER(B25,-2.38),11.6*POWER(B25,-1.41))</f>
        <v>0.614873763524095</v>
      </c>
      <c r="L25" s="55" t="n">
        <f aca="false">K25*$N$10*J25*(G25*($D$10-$D$8)+MAX(G25*F25*($D$9-$D$10),0)+F25*$D$11+$D$12)</f>
        <v>2.92117921302805E-017</v>
      </c>
      <c r="M25" s="55" t="n">
        <f aca="false">0.0000198*$K$120</f>
        <v>7.326E-006</v>
      </c>
      <c r="N25" s="55" t="n">
        <f aca="false">L25+M25</f>
        <v>7.32600000002921E-006</v>
      </c>
      <c r="O25" s="56" t="n">
        <f aca="false">100*$O$5*SQRT(N25)/(C25*J25*SQRT(($O$4*B25)*$O$6))/$L$5</f>
        <v>1.25624732609266E-008</v>
      </c>
      <c r="P25" s="57" t="n">
        <f aca="false">O25*B25*B25*0.0000000016021773</f>
        <v>1.29792498518333E-015</v>
      </c>
    </row>
    <row r="26" customFormat="false" ht="12" hidden="false" customHeight="false" outlineLevel="0" collapsed="false">
      <c r="B26" s="50" t="n">
        <v>8.83333333</v>
      </c>
      <c r="C26" s="51" t="n">
        <v>648.138592</v>
      </c>
      <c r="D26" s="51" t="n">
        <v>127</v>
      </c>
      <c r="E26" s="58" t="n">
        <v>178.4</v>
      </c>
      <c r="F26" s="51" t="n">
        <f aca="false">EXP(-$C$5*$C$6*E26)</f>
        <v>1.98872876489682E-168</v>
      </c>
      <c r="G26" s="51" t="n">
        <f aca="false">EXP(-1*D26*$C$5*$C$7)</f>
        <v>6.55580508684748E-010</v>
      </c>
      <c r="H26" s="52" t="n">
        <v>48.6</v>
      </c>
      <c r="I26" s="58" t="n">
        <v>188.9</v>
      </c>
      <c r="J26" s="53" t="n">
        <v>0.998041235</v>
      </c>
      <c r="K26" s="54" t="n">
        <f aca="false">MIN(167*POWER(B26,-2.38),11.6*POWER(B26,-1.41))</f>
        <v>0.537554220965801</v>
      </c>
      <c r="L26" s="55" t="n">
        <f aca="false">K26*$N$10*J26*(G26*($D$10-$D$8)+MAX(G26*F26*($D$9-$D$10),0)+F26*$D$11+$D$12)</f>
        <v>8.66974978401089E-015</v>
      </c>
      <c r="M26" s="55" t="n">
        <f aca="false">0.0000198*$K$120</f>
        <v>7.326E-006</v>
      </c>
      <c r="N26" s="55" t="n">
        <f aca="false">L26+M26</f>
        <v>7.32600000866975E-006</v>
      </c>
      <c r="O26" s="56" t="n">
        <f aca="false">100*$O$5*SQRT(N26)/(C26*J26*SQRT(($O$4*B26)*$O$6))/$L$5</f>
        <v>1.19459592742263E-008</v>
      </c>
      <c r="P26" s="57" t="n">
        <f aca="false">O26*B26*B26*0.0000000016021773</f>
        <v>1.49341614541386E-015</v>
      </c>
    </row>
    <row r="27" customFormat="false" ht="12" hidden="false" customHeight="false" outlineLevel="0" collapsed="false">
      <c r="B27" s="50" t="n">
        <v>9.63636364</v>
      </c>
      <c r="C27" s="51" t="n">
        <v>649.533447</v>
      </c>
      <c r="D27" s="51" t="n">
        <v>102</v>
      </c>
      <c r="E27" s="58" t="n">
        <v>143.2</v>
      </c>
      <c r="F27" s="51" t="n">
        <f aca="false">EXP(-$C$5*$C$6*E27)</f>
        <v>2.44143884040149E-135</v>
      </c>
      <c r="G27" s="51" t="n">
        <f aca="false">EXP(-1*D27*$C$5*$C$7)</f>
        <v>4.21091828538016E-008</v>
      </c>
      <c r="H27" s="52" t="n">
        <v>37.7</v>
      </c>
      <c r="I27" s="58" t="n">
        <v>149.4</v>
      </c>
      <c r="J27" s="53" t="n">
        <v>0.99795038</v>
      </c>
      <c r="K27" s="54" t="n">
        <f aca="false">MIN(167*POWER(B27,-2.38),11.6*POWER(B27,-1.41))</f>
        <v>0.475488924081457</v>
      </c>
      <c r="L27" s="55" t="n">
        <f aca="false">K27*$N$10*J27*(G27*($D$10-$D$8)+MAX(G27*F27*($D$9-$D$10),0)+F27*$D$11+$D$12)</f>
        <v>4.9253368308493E-013</v>
      </c>
      <c r="M27" s="55" t="n">
        <f aca="false">0.0000198*$K$120</f>
        <v>7.326E-006</v>
      </c>
      <c r="N27" s="55" t="n">
        <f aca="false">L27+M27</f>
        <v>7.32600049253368E-006</v>
      </c>
      <c r="O27" s="56" t="n">
        <f aca="false">100*$O$5*SQRT(N27)/(C27*J27*SQRT(($O$4*B27)*$O$6))/$L$5</f>
        <v>1.14138631851848E-008</v>
      </c>
      <c r="P27" s="57" t="n">
        <f aca="false">O27*B27*B27*0.0000000016021773</f>
        <v>1.69812477133813E-015</v>
      </c>
    </row>
    <row r="28" customFormat="false" ht="12" hidden="false" customHeight="false" outlineLevel="0" collapsed="false">
      <c r="B28" s="50" t="n">
        <v>10.4393939</v>
      </c>
      <c r="C28" s="51" t="n">
        <v>650.69996</v>
      </c>
      <c r="D28" s="51" t="n">
        <v>212</v>
      </c>
      <c r="E28" s="58" t="n">
        <v>117.2</v>
      </c>
      <c r="F28" s="51" t="n">
        <f aca="false">EXP(-$C$5*$C$6*E28)</f>
        <v>6.73653247085247E-111</v>
      </c>
      <c r="G28" s="51" t="n">
        <f aca="false">EXP(-1*D28*$C$5*$C$7)</f>
        <v>4.68029661832328E-016</v>
      </c>
      <c r="H28" s="52" t="n">
        <v>29.9</v>
      </c>
      <c r="I28" s="58" t="n">
        <v>120.4</v>
      </c>
      <c r="J28" s="53" t="n">
        <v>0.997603452</v>
      </c>
      <c r="K28" s="54" t="n">
        <f aca="false">MIN(167*POWER(B28,-2.38),11.6*POWER(B28,-1.41))</f>
        <v>0.42474261620643</v>
      </c>
      <c r="L28" s="55" t="n">
        <f aca="false">K28*$N$10*J28*(G28*($D$10-$D$8)+MAX(G28*F28*($D$9-$D$10),0)+F28*$D$11+$D$12)</f>
        <v>4.88840216931542E-021</v>
      </c>
      <c r="M28" s="55" t="n">
        <f aca="false">0.0000198*$K$120</f>
        <v>7.326E-006</v>
      </c>
      <c r="N28" s="55" t="n">
        <f aca="false">L28+M28</f>
        <v>7.32600000000001E-006</v>
      </c>
      <c r="O28" s="56" t="n">
        <f aca="false">100*$O$5*SQRT(N28)/(C28*J28*SQRT(($O$4*B28)*$O$6))/$L$5</f>
        <v>1.09502324828819E-008</v>
      </c>
      <c r="P28" s="57" t="n">
        <f aca="false">O28*B28*B28*0.0000000016021773</f>
        <v>1.91198501159636E-015</v>
      </c>
    </row>
    <row r="29" customFormat="false" ht="12" hidden="false" customHeight="false" outlineLevel="0" collapsed="false">
      <c r="B29" s="50" t="n">
        <v>11.2424242</v>
      </c>
      <c r="C29" s="51" t="n">
        <v>649.693758</v>
      </c>
      <c r="D29" s="51" t="n">
        <v>239</v>
      </c>
      <c r="E29" s="58" t="n">
        <v>97.24</v>
      </c>
      <c r="F29" s="51" t="n">
        <f aca="false">EXP(-$C$5*$C$6*E29)</f>
        <v>3.90340229222265E-092</v>
      </c>
      <c r="G29" s="51" t="n">
        <f aca="false">EXP(-1*D29*$C$5*$C$7)</f>
        <v>5.22278964497927E-018</v>
      </c>
      <c r="H29" s="52" t="n">
        <v>24.1</v>
      </c>
      <c r="I29" s="58" t="n">
        <v>98.47</v>
      </c>
      <c r="J29" s="53" t="n">
        <v>0.997046092</v>
      </c>
      <c r="K29" s="54" t="n">
        <f aca="false">MIN(167*POWER(B29,-2.38),11.6*POWER(B29,-1.41))</f>
        <v>0.382600412749222</v>
      </c>
      <c r="L29" s="55" t="n">
        <f aca="false">K29*$N$10*J29*(G29*($D$10-$D$8)+MAX(G29*F29*($D$9-$D$10),0)+F29*$D$11+$D$12)</f>
        <v>4.91103436957977E-023</v>
      </c>
      <c r="M29" s="55" t="n">
        <f aca="false">0.0000198*$K$120</f>
        <v>7.326E-006</v>
      </c>
      <c r="N29" s="55" t="n">
        <f aca="false">L29+M29</f>
        <v>7.326E-006</v>
      </c>
      <c r="O29" s="56" t="n">
        <f aca="false">100*$O$5*SQRT(N29)/(C29*J29*SQRT(($O$4*B29)*$O$6))/$L$5</f>
        <v>1.05741579052502E-008</v>
      </c>
      <c r="P29" s="57" t="n">
        <f aca="false">O29*B29*B29*0.0000000016021773</f>
        <v>2.14129400919605E-015</v>
      </c>
    </row>
    <row r="30" customFormat="false" ht="12" hidden="false" customHeight="false" outlineLevel="0" collapsed="false">
      <c r="B30" s="50" t="n">
        <v>12.0454545</v>
      </c>
      <c r="C30" s="51" t="n">
        <v>601.964469</v>
      </c>
      <c r="D30" s="51" t="n">
        <v>233</v>
      </c>
      <c r="E30" s="58" t="n">
        <v>81.61</v>
      </c>
      <c r="F30" s="51" t="n">
        <f aca="false">EXP(-$C$5*$C$6*E30)</f>
        <v>1.92361679333247E-077</v>
      </c>
      <c r="G30" s="51" t="n">
        <f aca="false">EXP(-1*D30*$C$5*$C$7)</f>
        <v>1.41828242677668E-017</v>
      </c>
      <c r="H30" s="52" t="n">
        <v>19.7</v>
      </c>
      <c r="I30" s="58" t="n">
        <v>81.45</v>
      </c>
      <c r="J30" s="53" t="n">
        <v>0.996481765</v>
      </c>
      <c r="K30" s="54" t="n">
        <f aca="false">MIN(167*POWER(B30,-2.38),11.6*POWER(B30,-1.41))</f>
        <v>0.347134109159557</v>
      </c>
      <c r="L30" s="55" t="n">
        <f aca="false">K30*$N$10*J30*(G30*($D$10-$D$8)+MAX(G30*F30*($D$9-$D$10),0)+F30*$D$11+$D$12)</f>
        <v>1.2093141546677E-022</v>
      </c>
      <c r="M30" s="55" t="n">
        <f aca="false">0.0000198*$K$120</f>
        <v>7.326E-006</v>
      </c>
      <c r="N30" s="55" t="n">
        <f aca="false">L30+M30</f>
        <v>7.326E-006</v>
      </c>
      <c r="O30" s="56" t="n">
        <f aca="false">100*$O$5*SQRT(N30)/(C30*J30*SQRT(($O$4*B30)*$O$6))/$L$5</f>
        <v>1.10318385183116E-008</v>
      </c>
      <c r="P30" s="57" t="n">
        <f aca="false">O30*B30*B30*0.0000000016021773</f>
        <v>2.56451269525852E-015</v>
      </c>
    </row>
    <row r="31" customFormat="false" ht="12" hidden="false" customHeight="false" outlineLevel="0" collapsed="false">
      <c r="B31" s="50" t="n">
        <v>12.8484848</v>
      </c>
      <c r="C31" s="51" t="n">
        <v>589.997312</v>
      </c>
      <c r="D31" s="51" t="n">
        <v>198</v>
      </c>
      <c r="E31" s="58" t="n">
        <v>69.45</v>
      </c>
      <c r="F31" s="51" t="n">
        <f aca="false">EXP(-$C$5*$C$6*E31)</f>
        <v>5.18666618702909E-066</v>
      </c>
      <c r="G31" s="51" t="n">
        <f aca="false">EXP(-1*D31*$C$5*$C$7)</f>
        <v>4.81519428753547E-015</v>
      </c>
      <c r="H31" s="52" t="n">
        <v>16.3</v>
      </c>
      <c r="I31" s="58" t="n">
        <v>68.35</v>
      </c>
      <c r="J31" s="53" t="n">
        <v>0.995924405</v>
      </c>
      <c r="K31" s="54" t="n">
        <f aca="false">MIN(167*POWER(B31,-2.38),11.6*POWER(B31,-1.41))</f>
        <v>0.316939806885736</v>
      </c>
      <c r="L31" s="55" t="n">
        <f aca="false">K31*$N$10*J31*(G31*($D$10-$D$8)+MAX(G31*F31*($D$9-$D$10),0)+F31*$D$11+$D$12)</f>
        <v>3.74650872426441E-020</v>
      </c>
      <c r="M31" s="55" t="n">
        <f aca="false">0.0000198*$K$120</f>
        <v>7.326E-006</v>
      </c>
      <c r="N31" s="55" t="n">
        <f aca="false">L31+M31</f>
        <v>7.32600000000004E-006</v>
      </c>
      <c r="O31" s="56" t="n">
        <f aca="false">100*$O$5*SQRT(N31)/(C31*J31*SQRT(($O$4*B31)*$O$6))/$L$5</f>
        <v>1.09042886675226E-008</v>
      </c>
      <c r="P31" s="57" t="n">
        <f aca="false">O31*B31*B31*0.0000000016021773</f>
        <v>2.88410949557895E-015</v>
      </c>
    </row>
    <row r="32" customFormat="false" ht="12" hidden="false" customHeight="false" outlineLevel="0" collapsed="false">
      <c r="B32" s="50" t="n">
        <v>13.6515152</v>
      </c>
      <c r="C32" s="51" t="n">
        <v>567.093807</v>
      </c>
      <c r="D32" s="51" t="n">
        <v>170</v>
      </c>
      <c r="E32" s="58" t="n">
        <v>143.4</v>
      </c>
      <c r="F32" s="51" t="n">
        <f aca="false">EXP(-$C$5*$C$6*E32)</f>
        <v>1.58357912503741E-135</v>
      </c>
      <c r="G32" s="51" t="n">
        <f aca="false">EXP(-1*D32*$C$5*$C$7)</f>
        <v>5.09676593872161E-013</v>
      </c>
      <c r="H32" s="52" t="n">
        <v>13.6</v>
      </c>
      <c r="I32" s="58" t="n">
        <v>57.98</v>
      </c>
      <c r="J32" s="53" t="n">
        <v>0.995367045</v>
      </c>
      <c r="K32" s="54" t="n">
        <f aca="false">MIN(167*POWER(B32,-2.38),11.6*POWER(B32,-1.41))</f>
        <v>0.290973193716651</v>
      </c>
      <c r="L32" s="55" t="n">
        <f aca="false">K32*$N$10*J32*(G32*($D$10-$D$8)+MAX(G32*F32*($D$9-$D$10),0)+F32*$D$11+$D$12)</f>
        <v>3.63865347536218E-018</v>
      </c>
      <c r="M32" s="55" t="n">
        <f aca="false">0.0000198*$K$120</f>
        <v>7.326E-006</v>
      </c>
      <c r="N32" s="55" t="n">
        <f aca="false">L32+M32</f>
        <v>7.32600000000364E-006</v>
      </c>
      <c r="O32" s="56" t="n">
        <f aca="false">100*$O$5*SQRT(N32)/(C32*J32*SQRT(($O$4*B32)*$O$6))/$L$5</f>
        <v>1.10121245434854E-008</v>
      </c>
      <c r="P32" s="57" t="n">
        <f aca="false">O32*B32*B32*0.0000000016021773</f>
        <v>3.2880877769094E-015</v>
      </c>
    </row>
    <row r="33" customFormat="false" ht="12" hidden="false" customHeight="false" outlineLevel="0" collapsed="false">
      <c r="B33" s="50" t="n">
        <v>14.4545455</v>
      </c>
      <c r="C33" s="51" t="n">
        <v>551.816181</v>
      </c>
      <c r="D33" s="51" t="n">
        <v>147</v>
      </c>
      <c r="E33" s="58" t="n">
        <v>123.2</v>
      </c>
      <c r="F33" s="51" t="n">
        <f aca="false">EXP(-$C$5*$C$6*E33)</f>
        <v>1.54260228735591E-116</v>
      </c>
      <c r="G33" s="51" t="n">
        <f aca="false">EXP(-1*D33*$C$5*$C$7)</f>
        <v>2.34652620276601E-011</v>
      </c>
      <c r="H33" s="52" t="n">
        <v>11.5</v>
      </c>
      <c r="I33" s="58" t="n">
        <v>49.64</v>
      </c>
      <c r="J33" s="53" t="n">
        <v>0.994809685</v>
      </c>
      <c r="K33" s="54" t="n">
        <f aca="false">MIN(167*POWER(B33,-2.38),11.6*POWER(B33,-1.41))</f>
        <v>0.268442780216776</v>
      </c>
      <c r="L33" s="55" t="n">
        <f aca="false">K33*$N$10*J33*(G33*($D$10-$D$8)+MAX(G33*F33*($D$9-$D$10),0)+F33*$D$11+$D$12)</f>
        <v>1.54463869534257E-016</v>
      </c>
      <c r="M33" s="55" t="n">
        <f aca="false">0.0000198*$K$120</f>
        <v>7.326E-006</v>
      </c>
      <c r="N33" s="55" t="n">
        <f aca="false">L33+M33</f>
        <v>7.32600000015446E-006</v>
      </c>
      <c r="O33" s="56" t="n">
        <f aca="false">100*$O$5*SQRT(N33)/(C33*J33*SQRT(($O$4*B33)*$O$6))/$L$5</f>
        <v>1.10043159010365E-008</v>
      </c>
      <c r="P33" s="57" t="n">
        <f aca="false">O33*B33*B33*0.0000000016021773</f>
        <v>3.68368516011584E-015</v>
      </c>
    </row>
    <row r="34" customFormat="false" ht="12" hidden="false" customHeight="false" outlineLevel="0" collapsed="false">
      <c r="B34" s="50" t="n">
        <v>15.2575758</v>
      </c>
      <c r="C34" s="51" t="n">
        <v>558.26937</v>
      </c>
      <c r="D34" s="51" t="n">
        <v>128</v>
      </c>
      <c r="E34" s="58" t="n">
        <v>147.1</v>
      </c>
      <c r="F34" s="51" t="n">
        <f aca="false">EXP(-$C$5*$C$6*E34)</f>
        <v>5.26656278167772E-139</v>
      </c>
      <c r="G34" s="51" t="n">
        <f aca="false">EXP(-1*D34*$C$5*$C$7)</f>
        <v>5.5502941699065E-010</v>
      </c>
      <c r="H34" s="52" t="n">
        <v>9.83</v>
      </c>
      <c r="I34" s="58" t="n">
        <v>42.75</v>
      </c>
      <c r="J34" s="53" t="n">
        <v>0.994245358</v>
      </c>
      <c r="K34" s="54" t="n">
        <f aca="false">MIN(167*POWER(B34,-2.38),11.6*POWER(B34,-1.41))</f>
        <v>0.248738713140072</v>
      </c>
      <c r="L34" s="55" t="n">
        <f aca="false">K34*$N$10*J34*(G34*($D$10-$D$8)+MAX(G34*F34*($D$9-$D$10),0)+F34*$D$11+$D$12)</f>
        <v>3.38347308577349E-015</v>
      </c>
      <c r="M34" s="55" t="n">
        <f aca="false">0.0000198*$K$120</f>
        <v>7.326E-006</v>
      </c>
      <c r="N34" s="55" t="n">
        <f aca="false">L34+M34</f>
        <v>7.32600000338347E-006</v>
      </c>
      <c r="O34" s="56" t="n">
        <f aca="false">100*$O$5*SQRT(N34)/(C34*J34*SQRT(($O$4*B34)*$O$6))/$L$5</f>
        <v>1.0593014453792E-008</v>
      </c>
      <c r="P34" s="57" t="n">
        <f aca="false">O34*B34*B34*0.0000000016021773</f>
        <v>3.95094706996623E-015</v>
      </c>
    </row>
    <row r="35" customFormat="false" ht="12" hidden="false" customHeight="false" outlineLevel="0" collapsed="false">
      <c r="B35" s="50" t="n">
        <v>16.0606061</v>
      </c>
      <c r="C35" s="51" t="n">
        <v>562.234156</v>
      </c>
      <c r="D35" s="51" t="n">
        <v>112</v>
      </c>
      <c r="E35" s="58" t="n">
        <v>150</v>
      </c>
      <c r="F35" s="51" t="n">
        <f aca="false">EXP(-$C$5*$C$6*E35)</f>
        <v>9.89553064448761E-142</v>
      </c>
      <c r="G35" s="51" t="n">
        <f aca="false">EXP(-1*D35*$C$5*$C$7)</f>
        <v>7.96666401119435E-009</v>
      </c>
      <c r="H35" s="52" t="n">
        <v>8.46</v>
      </c>
      <c r="I35" s="58" t="n">
        <v>37.11</v>
      </c>
      <c r="J35" s="53" t="n">
        <v>0.993687998</v>
      </c>
      <c r="K35" s="54" t="n">
        <f aca="false">MIN(167*POWER(B35,-2.38),11.6*POWER(B35,-1.41))</f>
        <v>0.225425517776015</v>
      </c>
      <c r="L35" s="55" t="n">
        <f aca="false">K35*$N$10*J35*(G35*($D$10-$D$8)+MAX(G35*F35*($D$9-$D$10),0)+F35*$D$11+$D$12)</f>
        <v>4.39885241233424E-014</v>
      </c>
      <c r="M35" s="55" t="n">
        <f aca="false">0.0000198*$K$120</f>
        <v>7.326E-006</v>
      </c>
      <c r="N35" s="55" t="n">
        <f aca="false">L35+M35</f>
        <v>7.32600004398852E-006</v>
      </c>
      <c r="O35" s="56" t="n">
        <f aca="false">100*$O$5*SQRT(N35)/(C35*J35*SQRT(($O$4*B35)*$O$6))/$L$5</f>
        <v>1.0257734906343E-008</v>
      </c>
      <c r="P35" s="57" t="n">
        <f aca="false">O35*B35*B35*0.0000000016021773</f>
        <v>4.23921952823017E-015</v>
      </c>
    </row>
    <row r="36" customFormat="false" ht="12" hidden="false" customHeight="false" outlineLevel="0" collapsed="false">
      <c r="B36" s="50" t="n">
        <v>16.8636364</v>
      </c>
      <c r="C36" s="51" t="n">
        <v>564.812628</v>
      </c>
      <c r="D36" s="51" t="n">
        <v>98.7</v>
      </c>
      <c r="E36" s="58" t="n">
        <v>132.7</v>
      </c>
      <c r="F36" s="51" t="n">
        <f aca="false">EXP(-$C$5*$C$6*E36)</f>
        <v>1.8111945939909E-125</v>
      </c>
      <c r="G36" s="51" t="n">
        <f aca="false">EXP(-1*D36*$C$5*$C$7)</f>
        <v>7.29457370708269E-008</v>
      </c>
      <c r="H36" s="52" t="n">
        <v>7.33</v>
      </c>
      <c r="I36" s="58" t="n">
        <v>32.44</v>
      </c>
      <c r="J36" s="53" t="n">
        <v>0.993130638</v>
      </c>
      <c r="K36" s="54" t="n">
        <f aca="false">MIN(167*POWER(B36,-2.38),11.6*POWER(B36,-1.41))</f>
        <v>0.200711632999764</v>
      </c>
      <c r="L36" s="55" t="n">
        <f aca="false">K36*$N$10*J36*(G36*($D$10-$D$8)+MAX(G36*F36*($D$9-$D$10),0)+F36*$D$11+$D$12)</f>
        <v>3.58417008503196E-013</v>
      </c>
      <c r="M36" s="55" t="n">
        <f aca="false">0.0000198*$K$120</f>
        <v>7.326E-006</v>
      </c>
      <c r="N36" s="55" t="n">
        <f aca="false">L36+M36</f>
        <v>7.32600035841701E-006</v>
      </c>
      <c r="O36" s="56" t="n">
        <f aca="false">100*$O$5*SQRT(N36)/(C36*J36*SQRT(($O$4*B36)*$O$6))/$L$5</f>
        <v>9.97041701240203E-009</v>
      </c>
      <c r="P36" s="57" t="n">
        <f aca="false">O36*B36*B36*0.0000000016021773</f>
        <v>4.54282865740089E-015</v>
      </c>
    </row>
    <row r="37" customFormat="false" ht="12" hidden="false" customHeight="false" outlineLevel="0" collapsed="false">
      <c r="B37" s="50" t="n">
        <v>17.6666667</v>
      </c>
      <c r="C37" s="51" t="n">
        <v>567.424006</v>
      </c>
      <c r="D37" s="51" t="n">
        <v>87.5</v>
      </c>
      <c r="E37" s="58" t="n">
        <v>117.9</v>
      </c>
      <c r="F37" s="51" t="n">
        <f aca="false">EXP(-$C$5*$C$6*E37)</f>
        <v>1.48052287949744E-111</v>
      </c>
      <c r="G37" s="51" t="n">
        <f aca="false">EXP(-1*D37*$C$5*$C$7)</f>
        <v>4.70838824503328E-007</v>
      </c>
      <c r="H37" s="52" t="n">
        <v>6.4</v>
      </c>
      <c r="I37" s="58" t="n">
        <v>28.49</v>
      </c>
      <c r="J37" s="53" t="n">
        <v>0.992566311</v>
      </c>
      <c r="K37" s="54" t="n">
        <f aca="false">MIN(167*POWER(B37,-2.38),11.6*POWER(B37,-1.41))</f>
        <v>0.1796753443169</v>
      </c>
      <c r="L37" s="55" t="n">
        <f aca="false">K37*$N$10*J37*(G37*($D$10-$D$8)+MAX(G37*F37*($D$9-$D$10),0)+F37*$D$11+$D$12)</f>
        <v>2.06980795849573E-012</v>
      </c>
      <c r="M37" s="55" t="n">
        <f aca="false">0.0000198*$K$120</f>
        <v>7.326E-006</v>
      </c>
      <c r="N37" s="55" t="n">
        <f aca="false">L37+M37</f>
        <v>7.32600206980796E-006</v>
      </c>
      <c r="O37" s="56" t="n">
        <f aca="false">100*$O$5*SQRT(N37)/(C37*J37*SQRT(($O$4*B37)*$O$6))/$L$5</f>
        <v>9.70186490088039E-009</v>
      </c>
      <c r="P37" s="57" t="n">
        <f aca="false">O37*B37*B37*0.0000000016021773</f>
        <v>4.85148874748608E-015</v>
      </c>
    </row>
    <row r="38" customFormat="false" ht="12" hidden="false" customHeight="false" outlineLevel="0" collapsed="false">
      <c r="B38" s="50" t="n">
        <v>18.469697</v>
      </c>
      <c r="C38" s="51" t="n">
        <v>570.013595</v>
      </c>
      <c r="D38" s="51" t="n">
        <v>77.9</v>
      </c>
      <c r="E38" s="58" t="n">
        <v>105.5</v>
      </c>
      <c r="F38" s="51" t="n">
        <f aca="false">EXP(-$C$5*$C$6*E38)</f>
        <v>6.71107602417187E-100</v>
      </c>
      <c r="G38" s="51" t="n">
        <f aca="false">EXP(-1*D38*$C$5*$C$7)</f>
        <v>2.32835161995693E-006</v>
      </c>
      <c r="H38" s="52" t="n">
        <v>5.62</v>
      </c>
      <c r="I38" s="58" t="n">
        <v>25.2</v>
      </c>
      <c r="J38" s="53" t="n">
        <v>0.992008951</v>
      </c>
      <c r="K38" s="54" t="n">
        <f aca="false">MIN(167*POWER(B38,-2.38),11.6*POWER(B38,-1.41))</f>
        <v>0.161637534223439</v>
      </c>
      <c r="L38" s="55" t="n">
        <f aca="false">K38*$N$10*J38*(G38*($D$10-$D$8)+MAX(G38*F38*($D$9-$D$10),0)+F38*$D$11+$D$12)</f>
        <v>9.20271862367947E-012</v>
      </c>
      <c r="M38" s="55" t="n">
        <f aca="false">0.0000198*$K$120</f>
        <v>7.326E-006</v>
      </c>
      <c r="N38" s="55" t="n">
        <f aca="false">L38+M38</f>
        <v>7.32600920271862E-006</v>
      </c>
      <c r="O38" s="56" t="n">
        <f aca="false">100*$O$5*SQRT(N38)/(C38*J38*SQRT(($O$4*B38)*$O$6))/$L$5</f>
        <v>9.45081556860328E-009</v>
      </c>
      <c r="P38" s="57" t="n">
        <f aca="false">O38*B38*B38*0.0000000016021773</f>
        <v>5.16534583236783E-015</v>
      </c>
    </row>
    <row r="39" customFormat="false" ht="12" hidden="false" customHeight="false" outlineLevel="0" collapsed="false">
      <c r="B39" s="50" t="n">
        <v>19.2727273</v>
      </c>
      <c r="C39" s="51" t="n">
        <v>571.471204</v>
      </c>
      <c r="D39" s="51" t="n">
        <v>69.7</v>
      </c>
      <c r="E39" s="58" t="n">
        <v>94.84</v>
      </c>
      <c r="F39" s="51" t="n">
        <f aca="false">EXP(-$C$5*$C$6*E39)</f>
        <v>7.03908626233403E-090</v>
      </c>
      <c r="G39" s="51" t="n">
        <f aca="false">EXP(-1*D39*$C$5*$C$7)</f>
        <v>9.11991567575752E-006</v>
      </c>
      <c r="H39" s="52" t="n">
        <v>4.97</v>
      </c>
      <c r="I39" s="58" t="n">
        <v>22.41</v>
      </c>
      <c r="J39" s="53" t="n">
        <v>0.991451591</v>
      </c>
      <c r="K39" s="54" t="n">
        <f aca="false">MIN(167*POWER(B39,-2.38),11.6*POWER(B39,-1.41))</f>
        <v>0.146066866059261</v>
      </c>
      <c r="L39" s="55" t="n">
        <f aca="false">K39*$N$10*J39*(G39*($D$10-$D$8)+MAX(G39*F39*($D$9-$D$10),0)+F39*$D$11+$D$12)</f>
        <v>3.25554586003766E-011</v>
      </c>
      <c r="M39" s="55" t="n">
        <f aca="false">0.0000198*$K$120</f>
        <v>7.326E-006</v>
      </c>
      <c r="N39" s="55" t="n">
        <f aca="false">L39+M39</f>
        <v>7.3260325554586E-006</v>
      </c>
      <c r="O39" s="56" t="n">
        <f aca="false">100*$O$5*SQRT(N39)/(C39*J39*SQRT(($O$4*B39)*$O$6))/$L$5</f>
        <v>9.23343330650557E-009</v>
      </c>
      <c r="P39" s="57" t="n">
        <f aca="false">O39*B39*B39*0.0000000016021773</f>
        <v>5.49490443346828E-015</v>
      </c>
    </row>
    <row r="40" customFormat="false" ht="12" hidden="false" customHeight="false" outlineLevel="0" collapsed="false">
      <c r="B40" s="50" t="n">
        <v>20.0757576</v>
      </c>
      <c r="C40" s="51" t="n">
        <v>573.336321</v>
      </c>
      <c r="D40" s="51" t="n">
        <v>62.7</v>
      </c>
      <c r="E40" s="58" t="n">
        <v>85.48</v>
      </c>
      <c r="F40" s="51" t="n">
        <f aca="false">EXP(-$C$5*$C$6*E40)</f>
        <v>4.4279314447793E-081</v>
      </c>
      <c r="G40" s="51" t="n">
        <f aca="false">EXP(-1*D40*$C$5*$C$7)</f>
        <v>2.92523688862975E-005</v>
      </c>
      <c r="H40" s="52" t="n">
        <v>4.41</v>
      </c>
      <c r="I40" s="58" t="n">
        <v>20</v>
      </c>
      <c r="J40" s="53" t="n">
        <v>0.990887264</v>
      </c>
      <c r="K40" s="54" t="n">
        <f aca="false">MIN(167*POWER(B40,-2.38),11.6*POWER(B40,-1.41))</f>
        <v>0.132543137318226</v>
      </c>
      <c r="L40" s="55" t="n">
        <f aca="false">K40*$N$10*J40*(G40*($D$10-$D$8)+MAX(G40*F40*($D$9-$D$10),0)+F40*$D$11+$D$12)</f>
        <v>9.47005068481736E-011</v>
      </c>
      <c r="M40" s="55" t="n">
        <f aca="false">$K$120*0.0000066*(B40/10)^1.58</f>
        <v>7.34458616014859E-006</v>
      </c>
      <c r="N40" s="55" t="n">
        <f aca="false">L40+M40</f>
        <v>7.34468086065544E-006</v>
      </c>
      <c r="O40" s="56" t="n">
        <f aca="false">100*$O$5*SQRT(N40)/(C40*J40*SQRT(($O$4*B40)*$O$6))/$L$5</f>
        <v>9.03406143727301E-009</v>
      </c>
      <c r="P40" s="57" t="n">
        <f aca="false">O40*B40*B40*0.0000000016021773</f>
        <v>5.83361146466639E-015</v>
      </c>
      <c r="Q40" s="59"/>
    </row>
    <row r="41" customFormat="false" ht="12" hidden="false" customHeight="false" outlineLevel="0" collapsed="false">
      <c r="B41" s="50" t="n">
        <v>20.8787879</v>
      </c>
      <c r="C41" s="51" t="n">
        <v>574.627617</v>
      </c>
      <c r="D41" s="51" t="n">
        <v>56.6</v>
      </c>
      <c r="E41" s="58" t="n">
        <v>77.25</v>
      </c>
      <c r="F41" s="51" t="n">
        <f aca="false">EXP(-$C$5*$C$6*E41)</f>
        <v>2.41352126893442E-073</v>
      </c>
      <c r="G41" s="51" t="n">
        <f aca="false">EXP(-1*D41*$C$5*$C$7)</f>
        <v>8.07703996921473E-005</v>
      </c>
      <c r="H41" s="52" t="n">
        <v>3.94</v>
      </c>
      <c r="I41" s="58" t="n">
        <v>17.93</v>
      </c>
      <c r="J41" s="53" t="n">
        <v>0.990329904</v>
      </c>
      <c r="K41" s="54" t="n">
        <f aca="false">MIN(167*POWER(B41,-2.38),11.6*POWER(B41,-1.41))</f>
        <v>0.120730750087475</v>
      </c>
      <c r="L41" s="55" t="n">
        <f aca="false">K41*$N$10*J41*(G41*($D$10-$D$8)+MAX(G41*F41*($D$9-$D$10),0)+F41*$D$11+$D$12)</f>
        <v>2.38045399917409E-010</v>
      </c>
      <c r="M41" s="55" t="n">
        <f aca="false">$K$120*0.0000066*(B41/10)^1.58</f>
        <v>7.81411873318498E-006</v>
      </c>
      <c r="N41" s="55" t="n">
        <f aca="false">L41+M41</f>
        <v>7.8143567785849E-006</v>
      </c>
      <c r="O41" s="56" t="n">
        <f aca="false">100*$O$5*SQRT(N41)/(C41*J41*SQRT(($O$4*B41)*$O$6))/$L$5</f>
        <v>9.12207916809039E-009</v>
      </c>
      <c r="P41" s="57" t="n">
        <f aca="false">O41*B41*B41*0.0000000016021773</f>
        <v>6.37110813430539E-015</v>
      </c>
    </row>
    <row r="42" customFormat="false" ht="12" hidden="false" customHeight="false" outlineLevel="0" collapsed="false">
      <c r="B42" s="50" t="n">
        <v>21.6818182</v>
      </c>
      <c r="C42" s="51" t="n">
        <v>575.813567</v>
      </c>
      <c r="D42" s="51" t="n">
        <v>51.2</v>
      </c>
      <c r="E42" s="58" t="n">
        <v>70.08</v>
      </c>
      <c r="F42" s="51" t="n">
        <f aca="false">EXP(-$C$5*$C$6*E42)</f>
        <v>1.32638359546232E-066</v>
      </c>
      <c r="G42" s="51" t="n">
        <f aca="false">EXP(-1*D42*$C$5*$C$7)</f>
        <v>0.000198484409992895</v>
      </c>
      <c r="H42" s="52" t="n">
        <v>3.54</v>
      </c>
      <c r="I42" s="58" t="n">
        <v>16.14</v>
      </c>
      <c r="J42" s="53" t="n">
        <v>0.989772544</v>
      </c>
      <c r="K42" s="54" t="n">
        <f aca="false">MIN(167*POWER(B42,-2.38),11.6*POWER(B42,-1.41))</f>
        <v>0.110359241910247</v>
      </c>
      <c r="L42" s="55" t="n">
        <f aca="false">K42*$N$10*J42*(G42*($D$10-$D$8)+MAX(G42*F42*($D$9-$D$10),0)+F42*$D$11+$D$12)</f>
        <v>5.34417019976084E-010</v>
      </c>
      <c r="M42" s="55" t="n">
        <f aca="false">$K$120*0.0000066*(B42/10)^1.58</f>
        <v>8.29424507105106E-006</v>
      </c>
      <c r="N42" s="55" t="n">
        <f aca="false">L42+M42</f>
        <v>8.29477948807104E-006</v>
      </c>
      <c r="O42" s="56" t="n">
        <f aca="false">100*$O$5*SQRT(N42)/(C42*J42*SQRT(($O$4*B42)*$O$6))/$L$5</f>
        <v>9.20881028032736E-009</v>
      </c>
      <c r="P42" s="57" t="n">
        <f aca="false">O42*B42*B42*0.0000000016021773</f>
        <v>6.93594270841549E-015</v>
      </c>
      <c r="Q42" s="59"/>
    </row>
    <row r="43" customFormat="false" ht="12" hidden="false" customHeight="false" outlineLevel="0" collapsed="false">
      <c r="B43" s="50" t="n">
        <v>22.4848485</v>
      </c>
      <c r="C43" s="51" t="n">
        <v>576.841504</v>
      </c>
      <c r="D43" s="51" t="n">
        <v>46.5</v>
      </c>
      <c r="E43" s="58" t="n">
        <v>63.8</v>
      </c>
      <c r="F43" s="51" t="n">
        <f aca="false">EXP(-$C$5*$C$6*E43)</f>
        <v>1.0618424712305E-060</v>
      </c>
      <c r="G43" s="51" t="n">
        <f aca="false">EXP(-1*D43*$C$5*$C$7)</f>
        <v>0.000434093764484238</v>
      </c>
      <c r="H43" s="52" t="n">
        <v>3.19</v>
      </c>
      <c r="I43" s="58" t="n">
        <v>14.59</v>
      </c>
      <c r="J43" s="53" t="n">
        <v>0.989215184</v>
      </c>
      <c r="K43" s="54" t="n">
        <f aca="false">MIN(167*POWER(B43,-2.38),11.6*POWER(B43,-1.41))</f>
        <v>0.101208817990106</v>
      </c>
      <c r="L43" s="55" t="n">
        <f aca="false">K43*$N$10*J43*(G43*($D$10-$D$8)+MAX(G43*F43*($D$9-$D$10),0)+F43*$D$11+$D$12)</f>
        <v>1.07127863482818E-009</v>
      </c>
      <c r="M43" s="55" t="n">
        <f aca="false">$K$120*0.0000066*(B43/10)^1.58</f>
        <v>8.78479852071594E-006</v>
      </c>
      <c r="N43" s="55" t="n">
        <f aca="false">L43+M43</f>
        <v>8.78586979935077E-006</v>
      </c>
      <c r="O43" s="56" t="n">
        <f aca="false">100*$O$5*SQRT(N43)/(C43*J43*SQRT(($O$4*B43)*$O$6))/$L$5</f>
        <v>9.29536338560081E-009</v>
      </c>
      <c r="P43" s="57" t="n">
        <f aca="false">O43*B43*B43*0.0000000016021773</f>
        <v>7.52933946562284E-015</v>
      </c>
    </row>
    <row r="44" customFormat="false" ht="12" hidden="false" customHeight="false" outlineLevel="0" collapsed="false">
      <c r="B44" s="50" t="n">
        <v>23.2878788</v>
      </c>
      <c r="C44" s="51" t="n">
        <v>577.475616</v>
      </c>
      <c r="D44" s="51" t="n">
        <v>42.4</v>
      </c>
      <c r="E44" s="58" t="n">
        <v>58.22</v>
      </c>
      <c r="F44" s="51" t="n">
        <f aca="false">EXP(-$C$5*$C$6*E44)</f>
        <v>1.86822748930042E-055</v>
      </c>
      <c r="G44" s="51" t="n">
        <f aca="false">EXP(-1*D44*$C$5*$C$7)</f>
        <v>0.000859121673923336</v>
      </c>
      <c r="H44" s="52" t="n">
        <v>2.89</v>
      </c>
      <c r="I44" s="58" t="n">
        <v>13.21</v>
      </c>
      <c r="J44" s="53" t="n">
        <v>0.988650857</v>
      </c>
      <c r="K44" s="54" t="n">
        <f aca="false">MIN(167*POWER(B44,-2.38),11.6*POWER(B44,-1.41))</f>
        <v>0.0930994751295733</v>
      </c>
      <c r="L44" s="55" t="n">
        <f aca="false">K44*$N$10*J44*(G44*($D$10-$D$8)+MAX(G44*F44*($D$9-$D$10),0)+F44*$D$11+$D$12)</f>
        <v>1.94919201958664E-009</v>
      </c>
      <c r="M44" s="55" t="n">
        <f aca="false">$K$120*0.0000066*(B44/10)^1.58</f>
        <v>9.28562097524005E-006</v>
      </c>
      <c r="N44" s="55" t="n">
        <f aca="false">L44+M44</f>
        <v>9.28757016725964E-006</v>
      </c>
      <c r="O44" s="56" t="n">
        <f aca="false">100*$O$5*SQRT(N44)/(C44*J44*SQRT(($O$4*B44)*$O$6))/$L$5</f>
        <v>9.38589600809861E-009</v>
      </c>
      <c r="P44" s="57" t="n">
        <f aca="false">O44*B44*B44*0.0000000016021773</f>
        <v>8.15541708616109E-015</v>
      </c>
    </row>
    <row r="45" customFormat="false" ht="12" hidden="false" customHeight="false" outlineLevel="0" collapsed="false">
      <c r="B45" s="50" t="n">
        <v>24.0909091</v>
      </c>
      <c r="C45" s="51" t="n">
        <v>578.062361</v>
      </c>
      <c r="D45" s="51" t="n">
        <v>38.8</v>
      </c>
      <c r="E45" s="58" t="n">
        <v>53.35</v>
      </c>
      <c r="F45" s="51" t="n">
        <f aca="false">EXP(-$C$5*$C$6*E45)</f>
        <v>7.06932317030954E-051</v>
      </c>
      <c r="G45" s="51" t="n">
        <f aca="false">EXP(-1*D45*$C$5*$C$7)</f>
        <v>0.00156448278254592</v>
      </c>
      <c r="H45" s="52" t="n">
        <v>2.62</v>
      </c>
      <c r="I45" s="58" t="n">
        <v>12.03</v>
      </c>
      <c r="J45" s="53" t="n">
        <v>0.988093497</v>
      </c>
      <c r="K45" s="54" t="n">
        <f aca="false">MIN(167*POWER(B45,-2.38),11.6*POWER(B45,-1.41))</f>
        <v>0.0858827379756036</v>
      </c>
      <c r="L45" s="55" t="n">
        <f aca="false">K45*$N$10*J45*(G45*($D$10-$D$8)+MAX(G45*F45*($D$9-$D$10),0)+F45*$D$11+$D$12)</f>
        <v>3.27253635501513E-009</v>
      </c>
      <c r="M45" s="55" t="n">
        <f aca="false">$K$120*0.0000066*(B45/10)^1.58</f>
        <v>9.79656215274212E-006</v>
      </c>
      <c r="N45" s="55" t="n">
        <f aca="false">L45+M45</f>
        <v>9.79983468909714E-006</v>
      </c>
      <c r="O45" s="56" t="n">
        <f aca="false">100*$O$5*SQRT(N45)/(C45*J45*SQRT(($O$4*B45)*$O$6))/$L$5</f>
        <v>9.47493621964058E-009</v>
      </c>
      <c r="P45" s="57" t="n">
        <f aca="false">O45*B45*B45*0.0000000016021773</f>
        <v>8.81035174089047E-015</v>
      </c>
    </row>
    <row r="46" customFormat="false" ht="12" hidden="false" customHeight="false" outlineLevel="0" collapsed="false">
      <c r="B46" s="50" t="n">
        <v>24.8939394</v>
      </c>
      <c r="C46" s="51" t="n">
        <v>578.249538</v>
      </c>
      <c r="D46" s="51" t="n">
        <v>35.6</v>
      </c>
      <c r="E46" s="58" t="n">
        <v>49.03</v>
      </c>
      <c r="F46" s="51" t="n">
        <f aca="false">EXP(-$C$5*$C$6*E46)</f>
        <v>8.13409405589825E-047</v>
      </c>
      <c r="G46" s="51" t="n">
        <f aca="false">EXP(-1*D46*$C$5*$C$7)</f>
        <v>0.00266540303540895</v>
      </c>
      <c r="H46" s="52" t="n">
        <v>2.39</v>
      </c>
      <c r="I46" s="58" t="n">
        <v>10.98</v>
      </c>
      <c r="J46" s="53" t="n">
        <v>0.987536137</v>
      </c>
      <c r="K46" s="54" t="n">
        <f aca="false">MIN(167*POWER(B46,-2.38),11.6*POWER(B46,-1.41))</f>
        <v>0.0794353176406798</v>
      </c>
      <c r="L46" s="55" t="n">
        <f aca="false">K46*$N$10*J46*(G46*($D$10-$D$8)+MAX(G46*F46*($D$9-$D$10),0)+F46*$D$11+$D$12)</f>
        <v>5.15393919569753E-009</v>
      </c>
      <c r="M46" s="55" t="n">
        <f aca="false">$K$120*0.0000066*(B46/10)^1.58</f>
        <v>1.03174789584616E-005</v>
      </c>
      <c r="N46" s="55" t="n">
        <f aca="false">L46+M46</f>
        <v>1.03226328976573E-005</v>
      </c>
      <c r="O46" s="56" t="n">
        <f aca="false">100*$O$5*SQRT(N46)/(C46*J46*SQRT(($O$4*B46)*$O$6))/$L$5</f>
        <v>9.56855559238496E-009</v>
      </c>
      <c r="P46" s="57" t="n">
        <f aca="false">O46*B46*B46*0.0000000016021773</f>
        <v>9.50045083213206E-015</v>
      </c>
    </row>
    <row r="47" customFormat="false" ht="12" hidden="false" customHeight="false" outlineLevel="0" collapsed="false">
      <c r="B47" s="50" t="n">
        <v>25.6969697</v>
      </c>
      <c r="C47" s="51" t="n">
        <v>578.234029</v>
      </c>
      <c r="D47" s="51" t="n">
        <v>32.8</v>
      </c>
      <c r="E47" s="58" t="n">
        <v>45.14</v>
      </c>
      <c r="F47" s="51" t="n">
        <f aca="false">EXP(-$C$5*$C$6*E47)</f>
        <v>3.69000937516367E-043</v>
      </c>
      <c r="G47" s="51" t="n">
        <f aca="false">EXP(-1*D47*$C$5*$C$7)</f>
        <v>0.00424845453925683</v>
      </c>
      <c r="H47" s="52" t="n">
        <v>2.19</v>
      </c>
      <c r="I47" s="58" t="n">
        <v>10.04</v>
      </c>
      <c r="J47" s="53" t="n">
        <v>0.98697181</v>
      </c>
      <c r="K47" s="54" t="n">
        <f aca="false">MIN(167*POWER(B47,-2.38),11.6*POWER(B47,-1.41))</f>
        <v>0.0736542004761343</v>
      </c>
      <c r="L47" s="55" t="n">
        <f aca="false">K47*$N$10*J47*(G47*($D$10-$D$8)+MAX(G47*F47*($D$9-$D$10),0)+F47*$D$11+$D$12)</f>
        <v>7.61277532725378E-009</v>
      </c>
      <c r="M47" s="55" t="n">
        <f aca="false">$K$120*0.0000066*(B47/10)^1.58</f>
        <v>1.08482349179402E-005</v>
      </c>
      <c r="N47" s="55" t="n">
        <f aca="false">L47+M47</f>
        <v>1.08558476932675E-005</v>
      </c>
      <c r="O47" s="56" t="n">
        <f aca="false">100*$O$5*SQRT(N47)/(C47*J47*SQRT(($O$4*B47)*$O$6))/$L$5</f>
        <v>9.66381857453961E-009</v>
      </c>
      <c r="P47" s="57" t="n">
        <f aca="false">O47*B47*B47*0.0000000016021773</f>
        <v>1.02240547663853E-014</v>
      </c>
    </row>
    <row r="48" customFormat="false" ht="12" hidden="false" customHeight="false" outlineLevel="0" collapsed="false">
      <c r="B48" s="50" t="n">
        <v>26.5</v>
      </c>
      <c r="C48" s="51" t="n">
        <v>578.011385</v>
      </c>
      <c r="D48" s="51" t="n">
        <v>30.2</v>
      </c>
      <c r="E48" s="58" t="n">
        <v>41.71</v>
      </c>
      <c r="F48" s="51" t="n">
        <f aca="false">EXP(-$C$5*$C$6*E48)</f>
        <v>6.18488690161304E-040</v>
      </c>
      <c r="G48" s="51" t="n">
        <f aca="false">EXP(-1*D48*$C$5*$C$7)</f>
        <v>0.00654993600245675</v>
      </c>
      <c r="H48" s="52" t="n">
        <v>2.01</v>
      </c>
      <c r="I48" s="58" t="n">
        <v>9.222</v>
      </c>
      <c r="J48" s="53" t="n">
        <v>0.98641445</v>
      </c>
      <c r="K48" s="54" t="n">
        <f aca="false">MIN(167*POWER(B48,-2.38),11.6*POWER(B48,-1.41))</f>
        <v>0.0684528116512862</v>
      </c>
      <c r="L48" s="55" t="n">
        <f aca="false">K48*$N$10*J48*(G48*($D$10-$D$8)+MAX(G48*F48*($D$9-$D$10),0)+F48*$D$11+$D$12)</f>
        <v>1.0901783242279E-008</v>
      </c>
      <c r="M48" s="55" t="n">
        <f aca="false">$K$120*0.0000066*(B48/10)^1.58</f>
        <v>1.13886996713985E-005</v>
      </c>
      <c r="N48" s="55" t="n">
        <f aca="false">L48+M48</f>
        <v>1.13996014546408E-005</v>
      </c>
      <c r="O48" s="56" t="n">
        <f aca="false">100*$O$5*SQRT(N48)/(C48*J48*SQRT(($O$4*B48)*$O$6))/$L$5</f>
        <v>9.76095536730342E-009</v>
      </c>
      <c r="P48" s="57" t="n">
        <f aca="false">O48*B48*B48*0.0000000016021773</f>
        <v>1.09823340385753E-014</v>
      </c>
    </row>
    <row r="49" customFormat="false" ht="12" hidden="false" customHeight="false" outlineLevel="0" collapsed="false">
      <c r="B49" s="50" t="n">
        <v>27.3030303</v>
      </c>
      <c r="C49" s="51" t="n">
        <v>577.235291</v>
      </c>
      <c r="D49" s="51" t="n">
        <v>28</v>
      </c>
      <c r="E49" s="58" t="n">
        <v>38.64</v>
      </c>
      <c r="F49" s="51" t="n">
        <f aca="false">EXP(-$C$5*$C$6*E49)</f>
        <v>4.75581671657141E-037</v>
      </c>
      <c r="G49" s="51" t="n">
        <f aca="false">EXP(-1*D49*$C$5*$C$7)</f>
        <v>0.00944754839721607</v>
      </c>
      <c r="H49" s="52" t="n">
        <v>1.85</v>
      </c>
      <c r="I49" s="58" t="n">
        <v>27.03</v>
      </c>
      <c r="J49" s="53" t="n">
        <v>0.98585709</v>
      </c>
      <c r="K49" s="54" t="n">
        <f aca="false">MIN(167*POWER(B49,-2.38),11.6*POWER(B49,-1.41))</f>
        <v>0.063757994165126</v>
      </c>
      <c r="L49" s="55" t="n">
        <f aca="false">K49*$N$10*J49*(G49*($D$10-$D$8)+MAX(G49*F49*($D$9-$D$10),0)+F49*$D$11+$D$12)</f>
        <v>1.46378571459595E-008</v>
      </c>
      <c r="M49" s="55" t="n">
        <f aca="false">$K$120*0.0000066*(B49/10)^1.58</f>
        <v>1.19387485210264E-005</v>
      </c>
      <c r="N49" s="55" t="n">
        <f aca="false">L49+M49</f>
        <v>1.19533863781724E-005</v>
      </c>
      <c r="O49" s="56" t="n">
        <f aca="false">100*$O$5*SQRT(N49)/(C49*J49*SQRT(($O$4*B49)*$O$6))/$L$5</f>
        <v>9.86596254405959E-009</v>
      </c>
      <c r="P49" s="57" t="n">
        <f aca="false">O49*B49*B49*0.0000000016021773</f>
        <v>1.17834303391089E-014</v>
      </c>
    </row>
    <row r="50" customFormat="false" ht="12" hidden="false" customHeight="false" outlineLevel="0" collapsed="false">
      <c r="B50" s="50" t="n">
        <v>28.1060606</v>
      </c>
      <c r="C50" s="51" t="n">
        <v>576.497556</v>
      </c>
      <c r="D50" s="51" t="n">
        <v>25.9</v>
      </c>
      <c r="E50" s="58" t="n">
        <v>35.84</v>
      </c>
      <c r="F50" s="51" t="n">
        <f aca="false">EXP(-$C$5*$C$6*E50)</f>
        <v>2.03849779540498E-034</v>
      </c>
      <c r="G50" s="51" t="n">
        <f aca="false">EXP(-1*D50*$C$5*$C$7)</f>
        <v>0.0134020178170482</v>
      </c>
      <c r="H50" s="52" t="n">
        <v>1.71</v>
      </c>
      <c r="I50" s="58" t="n">
        <v>25.05</v>
      </c>
      <c r="J50" s="53" t="n">
        <v>0.985292763</v>
      </c>
      <c r="K50" s="54" t="n">
        <f aca="false">MIN(167*POWER(B50,-2.38),11.6*POWER(B50,-1.41))</f>
        <v>0.0595076120115531</v>
      </c>
      <c r="L50" s="55" t="n">
        <f aca="false">K50*$N$10*J50*(G50*($D$10-$D$8)+MAX(G50*F50*($D$9-$D$10),0)+F50*$D$11+$D$12)</f>
        <v>1.93694717187511E-008</v>
      </c>
      <c r="M50" s="55" t="n">
        <f aca="false">$K$120*0.0000066*(B50/10)^1.58</f>
        <v>1.24982620242441E-005</v>
      </c>
      <c r="N50" s="55" t="n">
        <f aca="false">L50+M50</f>
        <v>1.25176314959629E-005</v>
      </c>
      <c r="O50" s="56" t="n">
        <f aca="false">100*$O$5*SQRT(N50)/(C50*J50*SQRT(($O$4*B50)*$O$6))/$L$5</f>
        <v>9.96929797233488E-009</v>
      </c>
      <c r="P50" s="57" t="n">
        <f aca="false">O50*B50*B50*0.0000000016021773</f>
        <v>1.26175521299411E-014</v>
      </c>
    </row>
    <row r="51" customFormat="false" ht="12" hidden="false" customHeight="false" outlineLevel="0" collapsed="false">
      <c r="B51" s="50" t="n">
        <v>28.9090909</v>
      </c>
      <c r="C51" s="51" t="n">
        <v>574.716805</v>
      </c>
      <c r="D51" s="51" t="n">
        <v>24.1</v>
      </c>
      <c r="E51" s="58" t="n">
        <v>33.34</v>
      </c>
      <c r="F51" s="51" t="n">
        <f aca="false">EXP(-$C$5*$C$6*E51)</f>
        <v>4.56442695391625E-032</v>
      </c>
      <c r="G51" s="51" t="n">
        <f aca="false">EXP(-1*D51*$C$5*$C$7)</f>
        <v>0.0180854053541022</v>
      </c>
      <c r="H51" s="52" t="n">
        <v>1.59</v>
      </c>
      <c r="I51" s="58" t="n">
        <v>23.28</v>
      </c>
      <c r="J51" s="53" t="n">
        <v>0.984735403</v>
      </c>
      <c r="K51" s="54" t="n">
        <f aca="false">MIN(167*POWER(B51,-2.38),11.6*POWER(B51,-1.41))</f>
        <v>0.0556486350707727</v>
      </c>
      <c r="L51" s="55" t="n">
        <f aca="false">K51*$N$10*J51*(G51*($D$10-$D$8)+MAX(G51*F51*($D$9-$D$10),0)+F51*$D$11+$D$12)</f>
        <v>2.44293597475325E-008</v>
      </c>
      <c r="M51" s="55" t="n">
        <f aca="false">$K$120*0.0000066*(B51/10)^1.58</f>
        <v>1.30671256270726E-005</v>
      </c>
      <c r="N51" s="55" t="n">
        <f aca="false">L51+M51</f>
        <v>1.30915549868201E-005</v>
      </c>
      <c r="O51" s="56" t="n">
        <f aca="false">100*$O$5*SQRT(N51)/(C51*J51*SQRT(($O$4*B51)*$O$6))/$L$5</f>
        <v>1.00895361286619E-008</v>
      </c>
      <c r="P51" s="57" t="n">
        <f aca="false">O51*B51*B51*0.0000000016021773</f>
        <v>1.35098536198787E-014</v>
      </c>
    </row>
    <row r="52" customFormat="false" ht="12" hidden="false" customHeight="false" outlineLevel="0" collapsed="false">
      <c r="B52" s="50" t="n">
        <v>29.7121212</v>
      </c>
      <c r="C52" s="51" t="n">
        <v>572.753088</v>
      </c>
      <c r="D52" s="51" t="n">
        <v>22.4</v>
      </c>
      <c r="E52" s="58" t="n">
        <v>31.08</v>
      </c>
      <c r="F52" s="51" t="n">
        <f aca="false">EXP(-$C$5*$C$6*E52)</f>
        <v>6.07931964863577E-030</v>
      </c>
      <c r="G52" s="51" t="n">
        <f aca="false">EXP(-1*D52*$C$5*$C$7)</f>
        <v>0.0240024348907267</v>
      </c>
      <c r="H52" s="52" t="n">
        <v>1.47</v>
      </c>
      <c r="I52" s="58" t="n">
        <v>21.68</v>
      </c>
      <c r="J52" s="53" t="n">
        <v>0.984178043</v>
      </c>
      <c r="K52" s="54" t="n">
        <f aca="false">MIN(167*POWER(B52,-2.38),11.6*POWER(B52,-1.41))</f>
        <v>0.0521355987115519</v>
      </c>
      <c r="L52" s="55" t="n">
        <f aca="false">K52*$N$10*J52*(G52*($D$10-$D$8)+MAX(G52*F52*($D$9-$D$10),0)+F52*$D$11+$D$12)</f>
        <v>3.03579965011521E-008</v>
      </c>
      <c r="M52" s="55" t="n">
        <f aca="false">$K$120*0.0000066*(B52/10)^1.58</f>
        <v>1.36452293326443E-005</v>
      </c>
      <c r="N52" s="55" t="n">
        <f aca="false">L52+M52</f>
        <v>1.36755873291455E-005</v>
      </c>
      <c r="O52" s="56" t="n">
        <f aca="false">100*$O$5*SQRT(N52)/(C52*J52*SQRT(($O$4*B52)*$O$6))/$L$5</f>
        <v>1.02124819454523E-008</v>
      </c>
      <c r="P52" s="57" t="n">
        <f aca="false">O52*B52*B52*0.0000000016021773</f>
        <v>1.44447221328821E-014</v>
      </c>
    </row>
    <row r="53" customFormat="false" ht="12" hidden="false" customHeight="false" outlineLevel="0" collapsed="false">
      <c r="B53" s="50" t="n">
        <v>30.5151515</v>
      </c>
      <c r="C53" s="51" t="n">
        <v>571.840653</v>
      </c>
      <c r="D53" s="51" t="n">
        <v>20.9</v>
      </c>
      <c r="E53" s="58" t="n">
        <v>28.99</v>
      </c>
      <c r="F53" s="51" t="n">
        <f aca="false">EXP(-$C$5*$C$6*E53)</f>
        <v>5.60426325609241E-028</v>
      </c>
      <c r="G53" s="51" t="n">
        <f aca="false">EXP(-1*D53*$C$5*$C$7)</f>
        <v>0.0308120324910067</v>
      </c>
      <c r="H53" s="52" t="n">
        <v>1.37</v>
      </c>
      <c r="I53" s="58" t="n">
        <v>20.2</v>
      </c>
      <c r="J53" s="53" t="n">
        <v>0.984350452</v>
      </c>
      <c r="K53" s="54" t="n">
        <f aca="false">MIN(167*POWER(B53,-2.38),11.6*POWER(B53,-1.41))</f>
        <v>0.0489293570101838</v>
      </c>
      <c r="L53" s="55" t="n">
        <f aca="false">K53*$N$10*J53*(G53*($D$10-$D$8)+MAX(G53*F53*($D$9-$D$10),0)+F53*$D$11+$D$12)</f>
        <v>3.6580477500273E-008</v>
      </c>
      <c r="M53" s="55" t="n">
        <f aca="false">$K$120*0.0000066*(B53/10)^1.58</f>
        <v>1.42324674006185E-005</v>
      </c>
      <c r="N53" s="55" t="n">
        <f aca="false">L53+M53</f>
        <v>1.42690478781188E-005</v>
      </c>
      <c r="O53" s="56" t="n">
        <f aca="false">100*$O$5*SQRT(N53)/(C53*J53*SQRT(($O$4*B53)*$O$6))/$L$5</f>
        <v>1.0308161373234E-008</v>
      </c>
      <c r="P53" s="57" t="n">
        <f aca="false">O53*B53*B53*0.0000000016021773</f>
        <v>1.53788139854031E-014</v>
      </c>
    </row>
    <row r="54" customFormat="false" ht="12" hidden="false" customHeight="false" outlineLevel="0" collapsed="false">
      <c r="B54" s="50" t="n">
        <v>31.3181818</v>
      </c>
      <c r="C54" s="51" t="n">
        <v>567.784923</v>
      </c>
      <c r="D54" s="51" t="n">
        <v>19.5</v>
      </c>
      <c r="E54" s="58" t="n">
        <v>27.1</v>
      </c>
      <c r="F54" s="51" t="n">
        <f aca="false">EXP(-$C$5*$C$6*E54)</f>
        <v>3.35101209408246E-026</v>
      </c>
      <c r="G54" s="51" t="n">
        <f aca="false">EXP(-1*D54*$C$5*$C$7)</f>
        <v>0.0389004290054816</v>
      </c>
      <c r="H54" s="52" t="n">
        <v>1.28</v>
      </c>
      <c r="I54" s="58" t="n">
        <v>18.87</v>
      </c>
      <c r="J54" s="53" t="n">
        <v>0.984926532</v>
      </c>
      <c r="K54" s="54" t="n">
        <f aca="false">MIN(167*POWER(B54,-2.38),11.6*POWER(B54,-1.41))</f>
        <v>0.0459960676405931</v>
      </c>
      <c r="L54" s="55" t="n">
        <f aca="false">K54*$N$10*J54*(G54*($D$10-$D$8)+MAX(G54*F54*($D$9-$D$10),0)+F54*$D$11+$D$12)</f>
        <v>4.34398884000376E-008</v>
      </c>
      <c r="M54" s="55" t="n">
        <f aca="false">$K$120*0.0000066*(B54/10)^1.58</f>
        <v>1.48287380738775E-005</v>
      </c>
      <c r="N54" s="55" t="n">
        <f aca="false">L54+M54</f>
        <v>1.48721779622775E-005</v>
      </c>
      <c r="O54" s="56" t="n">
        <f aca="false">100*$O$5*SQRT(N54)/(C54*J54*SQRT(($O$4*B54)*$O$6))/$L$5</f>
        <v>1.04560480873377E-008</v>
      </c>
      <c r="P54" s="57" t="n">
        <f aca="false">O54*B54*B54*0.0000000016021773</f>
        <v>1.64312736229096E-014</v>
      </c>
    </row>
    <row r="55" customFormat="false" ht="12" hidden="false" customHeight="false" outlineLevel="0" collapsed="false">
      <c r="B55" s="50" t="n">
        <v>32.1212121</v>
      </c>
      <c r="C55" s="51" t="n">
        <v>562.026146</v>
      </c>
      <c r="D55" s="51" t="n">
        <v>18.3</v>
      </c>
      <c r="E55" s="58" t="n">
        <v>25.37</v>
      </c>
      <c r="F55" s="51" t="n">
        <f aca="false">EXP(-$C$5*$C$6*E55)</f>
        <v>1.41719169218242E-024</v>
      </c>
      <c r="G55" s="51" t="n">
        <f aca="false">EXP(-1*D55*$C$5*$C$7)</f>
        <v>0.0475035896128514</v>
      </c>
      <c r="H55" s="52" t="n">
        <v>1.2</v>
      </c>
      <c r="I55" s="58" t="n">
        <v>33.47</v>
      </c>
      <c r="J55" s="53" t="n">
        <v>0.985502612</v>
      </c>
      <c r="K55" s="54" t="n">
        <f aca="false">MIN(167*POWER(B55,-2.38),11.6*POWER(B55,-1.41))</f>
        <v>0.0433063607582453</v>
      </c>
      <c r="L55" s="55" t="n">
        <f aca="false">K55*$N$10*J55*(G55*($D$10-$D$8)+MAX(G55*F55*($D$9-$D$10),0)+F55*$D$11+$D$12)</f>
        <v>4.99741788573051E-008</v>
      </c>
      <c r="M55" s="55" t="n">
        <f aca="false">$K$120*0.0000066*(B55/10)^1.58</f>
        <v>1.54339433293844E-005</v>
      </c>
      <c r="N55" s="55" t="n">
        <f aca="false">L55+M55</f>
        <v>1.54839175082417E-005</v>
      </c>
      <c r="O55" s="56" t="n">
        <f aca="false">100*$O$5*SQRT(N55)/(C55*J55*SQRT(($O$4*B55)*$O$6))/$L$5</f>
        <v>1.06364428413616E-008</v>
      </c>
      <c r="P55" s="57" t="n">
        <f aca="false">O55*B55*B55*0.0000000016021773</f>
        <v>1.7582913317587E-014</v>
      </c>
    </row>
    <row r="56" customFormat="false" ht="12" hidden="false" customHeight="false" outlineLevel="0" collapsed="false">
      <c r="B56" s="50" t="n">
        <v>32.9242424</v>
      </c>
      <c r="C56" s="51" t="n">
        <v>553.251106</v>
      </c>
      <c r="D56" s="51" t="n">
        <v>17.1</v>
      </c>
      <c r="E56" s="58" t="n">
        <v>23.8</v>
      </c>
      <c r="F56" s="51" t="n">
        <f aca="false">EXP(-$C$5*$C$6*E56)</f>
        <v>4.2391260972574E-023</v>
      </c>
      <c r="G56" s="51" t="n">
        <f aca="false">EXP(-1*D56*$C$5*$C$7)</f>
        <v>0.0580094123329133</v>
      </c>
      <c r="H56" s="52" t="n">
        <v>1.13</v>
      </c>
      <c r="I56" s="58" t="n">
        <v>31.4</v>
      </c>
      <c r="J56" s="53" t="n">
        <v>0.986078692</v>
      </c>
      <c r="K56" s="54" t="n">
        <f aca="false">MIN(167*POWER(B56,-2.38),11.6*POWER(B56,-1.41))</f>
        <v>0.0408346549193148</v>
      </c>
      <c r="L56" s="55" t="n">
        <f aca="false">K56*$N$10*J56*(G56*($D$10-$D$8)+MAX(G56*F56*($D$9-$D$10),0)+F56*$D$11+$D$12)</f>
        <v>5.75769558225223E-008</v>
      </c>
      <c r="M56" s="55" t="n">
        <f aca="false">$K$120*0.0000066*(B56/10)^1.58</f>
        <v>1.60479886505114E-005</v>
      </c>
      <c r="N56" s="55" t="n">
        <f aca="false">L56+M56</f>
        <v>1.61055656063339E-005</v>
      </c>
      <c r="O56" s="56" t="n">
        <f aca="false">100*$O$5*SQRT(N56)/(C56*J56*SQRT(($O$4*B56)*$O$6))/$L$5</f>
        <v>1.08783362441172E-008</v>
      </c>
      <c r="P56" s="57" t="n">
        <f aca="false">O56*B56*B56*0.0000000016021773</f>
        <v>1.88931613580354E-014</v>
      </c>
    </row>
    <row r="57" customFormat="false" ht="12" hidden="false" customHeight="false" outlineLevel="0" collapsed="false">
      <c r="B57" s="50" t="n">
        <v>33.7272727</v>
      </c>
      <c r="C57" s="51" t="n">
        <v>538.029633</v>
      </c>
      <c r="D57" s="51" t="n">
        <v>16.1</v>
      </c>
      <c r="E57" s="58" t="n">
        <v>22.34</v>
      </c>
      <c r="F57" s="51" t="n">
        <f aca="false">EXP(-$C$5*$C$6*E57)</f>
        <v>9.99357159585455E-022</v>
      </c>
      <c r="G57" s="51" t="n">
        <f aca="false">EXP(-1*D57*$C$5*$C$7)</f>
        <v>0.0685186025849063</v>
      </c>
      <c r="H57" s="52" t="n">
        <v>1.06</v>
      </c>
      <c r="I57" s="58" t="n">
        <v>29.48</v>
      </c>
      <c r="J57" s="53" t="n">
        <v>0.986661973</v>
      </c>
      <c r="K57" s="54" t="n">
        <f aca="false">MIN(167*POWER(B57,-2.38),11.6*POWER(B57,-1.41))</f>
        <v>0.0385585911912334</v>
      </c>
      <c r="L57" s="55" t="n">
        <f aca="false">K57*$N$10*J57*(G57*($D$10-$D$8)+MAX(G57*F57*($D$9-$D$10),0)+F57*$D$11+$D$12)</f>
        <v>6.42551311816055E-008</v>
      </c>
      <c r="M57" s="55" t="n">
        <f aca="false">$K$120*0.0000066*(B57/10)^1.58</f>
        <v>1.66707828185071E-005</v>
      </c>
      <c r="N57" s="55" t="n">
        <f aca="false">L57+M57</f>
        <v>1.67350379496887E-005</v>
      </c>
      <c r="O57" s="56" t="n">
        <f aca="false">100*$O$5*SQRT(N57)/(C57*J57*SQRT(($O$4*B57)*$O$6))/$L$5</f>
        <v>1.12593780296207E-008</v>
      </c>
      <c r="P57" s="57" t="n">
        <f aca="false">O57*B57*B57*0.0000000016021773</f>
        <v>2.05204756473215E-014</v>
      </c>
    </row>
    <row r="58" customFormat="false" ht="12" hidden="false" customHeight="false" outlineLevel="0" collapsed="false">
      <c r="B58" s="50" t="n">
        <v>34.530303</v>
      </c>
      <c r="C58" s="51" t="n">
        <v>514.074771</v>
      </c>
      <c r="D58" s="51" t="n">
        <v>15.1</v>
      </c>
      <c r="E58" s="58" t="n">
        <v>21.02</v>
      </c>
      <c r="F58" s="51" t="n">
        <f aca="false">EXP(-$C$5*$C$6*E58)</f>
        <v>1.74004653980119E-020</v>
      </c>
      <c r="G58" s="51" t="n">
        <f aca="false">EXP(-1*D58*$C$5*$C$7)</f>
        <v>0.0809316749020848</v>
      </c>
      <c r="H58" s="52" t="n">
        <v>0.998</v>
      </c>
      <c r="I58" s="58" t="n">
        <v>27.74</v>
      </c>
      <c r="J58" s="53" t="n">
        <v>0.987238053</v>
      </c>
      <c r="K58" s="54" t="n">
        <f aca="false">MIN(167*POWER(B58,-2.38),11.6*POWER(B58,-1.41))</f>
        <v>0.0364585627990146</v>
      </c>
      <c r="L58" s="55" t="n">
        <f aca="false">K58*$N$10*J58*(G58*($D$10-$D$8)+MAX(G58*F58*($D$9-$D$10),0)+F58*$D$11+$D$12)</f>
        <v>7.18041803799308E-008</v>
      </c>
      <c r="M58" s="55" t="n">
        <f aca="false">$K$120*0.0000066*(B58/10)^1.58</f>
        <v>1.73022377210709E-005</v>
      </c>
      <c r="N58" s="55" t="n">
        <f aca="false">L58+M58</f>
        <v>1.73740419014508E-005</v>
      </c>
      <c r="O58" s="56" t="n">
        <f aca="false">100*$O$5*SQRT(N58)/(C58*J58*SQRT(($O$4*B58)*$O$6))/$L$5</f>
        <v>1.18595526725598E-008</v>
      </c>
      <c r="P58" s="57" t="n">
        <f aca="false">O58*B58*B58*0.0000000016021773</f>
        <v>2.26558135057651E-014</v>
      </c>
    </row>
    <row r="59" customFormat="false" ht="12" hidden="false" customHeight="false" outlineLevel="0" collapsed="false">
      <c r="B59" s="50" t="n">
        <v>35.3333333</v>
      </c>
      <c r="C59" s="51" t="n">
        <v>486.830699</v>
      </c>
      <c r="D59" s="51" t="n">
        <v>14.2</v>
      </c>
      <c r="E59" s="58" t="n">
        <v>19.81</v>
      </c>
      <c r="F59" s="51" t="n">
        <f aca="false">EXP(-$C$5*$C$6*E59)</f>
        <v>2.38779839291019E-019</v>
      </c>
      <c r="G59" s="51" t="n">
        <f aca="false">EXP(-1*D59*$C$5*$C$7)</f>
        <v>0.0940150879016875</v>
      </c>
      <c r="H59" s="52" t="n">
        <v>0.943</v>
      </c>
      <c r="I59" s="58" t="n">
        <v>26.13</v>
      </c>
      <c r="J59" s="53" t="n">
        <v>0.987814133</v>
      </c>
      <c r="K59" s="54" t="n">
        <f aca="false">MIN(167*POWER(B59,-2.38),11.6*POWER(B59,-1.41))</f>
        <v>0.0345173224037561</v>
      </c>
      <c r="L59" s="55" t="n">
        <f aca="false">K59*$N$10*J59*(G59*($D$10-$D$8)+MAX(G59*F59*($D$9-$D$10),0)+F59*$D$11+$D$12)</f>
        <v>7.90168404859126E-008</v>
      </c>
      <c r="M59" s="55" t="n">
        <f aca="false">$K$120*0.000084*(B59/10)^(-0.45)</f>
        <v>1.76115644153287E-005</v>
      </c>
      <c r="N59" s="55" t="n">
        <f aca="false">L59+M59</f>
        <v>1.76905812558146E-005</v>
      </c>
      <c r="O59" s="56" t="n">
        <f aca="false">100*$O$5*SQRT(N59)/(C59*J59*SQRT(($O$4*B59)*$O$6))/$L$5</f>
        <v>1.2485093596689E-008</v>
      </c>
      <c r="P59" s="57" t="n">
        <f aca="false">O59*B59*B59*0.0000000016021773</f>
        <v>2.49730505924875E-014</v>
      </c>
    </row>
    <row r="60" customFormat="false" ht="12" hidden="false" customHeight="false" outlineLevel="0" collapsed="false">
      <c r="B60" s="50" t="n">
        <v>36.1363636</v>
      </c>
      <c r="C60" s="51" t="n">
        <v>459.339235</v>
      </c>
      <c r="D60" s="51" t="n">
        <v>13.4</v>
      </c>
      <c r="E60" s="58" t="n">
        <v>18.67</v>
      </c>
      <c r="F60" s="51" t="n">
        <f aca="false">EXP(-$C$5*$C$6*E60)</f>
        <v>2.81599784744205E-018</v>
      </c>
      <c r="G60" s="51" t="n">
        <f aca="false">EXP(-1*D60*$C$5*$C$7)</f>
        <v>0.107410213893499</v>
      </c>
      <c r="H60" s="52" t="n">
        <v>0.892</v>
      </c>
      <c r="I60" s="58" t="n">
        <v>24.63</v>
      </c>
      <c r="J60" s="53" t="n">
        <v>0.988397414</v>
      </c>
      <c r="K60" s="54" t="n">
        <f aca="false">MIN(167*POWER(B60,-2.38),11.6*POWER(B60,-1.41))</f>
        <v>0.0327196527829216</v>
      </c>
      <c r="L60" s="55" t="n">
        <f aca="false">K60*$N$10*J60*(G60*($D$10-$D$8)+MAX(G60*F60*($D$9-$D$10),0)+F60*$D$11+$D$12)</f>
        <v>8.56240246770074E-008</v>
      </c>
      <c r="M60" s="55" t="n">
        <f aca="false">$K$120*0.000084*(B60/10)^(-0.45)</f>
        <v>1.74343599744455E-005</v>
      </c>
      <c r="N60" s="55" t="n">
        <f aca="false">L60+M60</f>
        <v>1.75199839991225E-005</v>
      </c>
      <c r="O60" s="56" t="n">
        <f aca="false">100*$O$5*SQRT(N60)/(C60*J60*SQRT(($O$4*B60)*$O$6))/$L$5</f>
        <v>1.30135484668961E-008</v>
      </c>
      <c r="P60" s="57" t="n">
        <f aca="false">O60*B60*B60*0.0000000016021773</f>
        <v>2.72267123423955E-014</v>
      </c>
    </row>
    <row r="61" customFormat="false" ht="12" hidden="false" customHeight="false" outlineLevel="0" collapsed="false">
      <c r="B61" s="50" t="n">
        <v>36.9393939</v>
      </c>
      <c r="C61" s="51" t="n">
        <v>432.639299</v>
      </c>
      <c r="D61" s="51" t="n">
        <v>12.6</v>
      </c>
      <c r="E61" s="58" t="n">
        <v>17.64</v>
      </c>
      <c r="F61" s="51" t="n">
        <f aca="false">EXP(-$C$5*$C$6*E61)</f>
        <v>2.61736105929179E-017</v>
      </c>
      <c r="G61" s="51" t="n">
        <f aca="false">EXP(-1*D61*$C$5*$C$7)</f>
        <v>0.122713856957848</v>
      </c>
      <c r="H61" s="52" t="n">
        <v>0.846</v>
      </c>
      <c r="I61" s="58" t="n">
        <v>23.26</v>
      </c>
      <c r="J61" s="53" t="n">
        <v>0.988973494</v>
      </c>
      <c r="K61" s="54" t="n">
        <f aca="false">MIN(167*POWER(B61,-2.38),11.6*POWER(B61,-1.41))</f>
        <v>0.0310520895391425</v>
      </c>
      <c r="L61" s="55" t="n">
        <f aca="false">K61*$N$10*J61*(G61*($D$10-$D$8)+MAX(G61*F61*($D$9-$D$10),0)+F61*$D$11+$D$12)</f>
        <v>9.28921163677003E-008</v>
      </c>
      <c r="M61" s="55" t="n">
        <f aca="false">$K$120*0.000084*(B61/10)^(-0.45)</f>
        <v>1.7262775226597E-005</v>
      </c>
      <c r="N61" s="55" t="n">
        <f aca="false">L61+M61</f>
        <v>1.73556673429647E-005</v>
      </c>
      <c r="O61" s="56" t="n">
        <f aca="false">100*$O$5*SQRT(N61)/(C61*J61*SQRT(($O$4*B61)*$O$6))/$L$5</f>
        <v>1.35935035836821E-008</v>
      </c>
      <c r="P61" s="57" t="n">
        <f aca="false">O61*B61*B61*0.0000000016021773</f>
        <v>2.97181322366923E-014</v>
      </c>
    </row>
    <row r="62" customFormat="false" ht="12" hidden="false" customHeight="false" outlineLevel="0" collapsed="false">
      <c r="B62" s="50" t="n">
        <v>37.7424242</v>
      </c>
      <c r="C62" s="51" t="n">
        <v>407.107025</v>
      </c>
      <c r="D62" s="51" t="n">
        <v>11.9</v>
      </c>
      <c r="E62" s="58" t="n">
        <v>16.69</v>
      </c>
      <c r="F62" s="51" t="n">
        <f aca="false">EXP(-$C$5*$C$6*E62)</f>
        <v>2.0459382534196E-016</v>
      </c>
      <c r="G62" s="51" t="n">
        <f aca="false">EXP(-1*D62*$C$5*$C$7)</f>
        <v>0.137882969599518</v>
      </c>
      <c r="H62" s="52" t="n">
        <v>0.803</v>
      </c>
      <c r="I62" s="58" t="n">
        <v>21.98</v>
      </c>
      <c r="J62" s="53" t="n">
        <v>0.989549574</v>
      </c>
      <c r="K62" s="54" t="n">
        <f aca="false">MIN(167*POWER(B62,-2.38),11.6*POWER(B62,-1.41))</f>
        <v>0.0295026866999416</v>
      </c>
      <c r="L62" s="55" t="n">
        <f aca="false">K62*$N$10*J62*(G62*($D$10-$D$8)+MAX(G62*F62*($D$9-$D$10),0)+F62*$D$11+$D$12)</f>
        <v>9.92246375474282E-008</v>
      </c>
      <c r="M62" s="55" t="n">
        <f aca="false">$K$120*0.000084*(B62/10)^(-0.45)</f>
        <v>1.70965154843059E-005</v>
      </c>
      <c r="N62" s="55" t="n">
        <f aca="false">L62+M62</f>
        <v>1.71957401218533E-005</v>
      </c>
      <c r="O62" s="56" t="n">
        <f aca="false">100*$O$5*SQRT(N62)/(C62*J62*SQRT(($O$4*B62)*$O$6))/$L$5</f>
        <v>1.42172511777621E-008</v>
      </c>
      <c r="P62" s="57" t="n">
        <f aca="false">O62*B62*B62*0.0000000016021773</f>
        <v>3.2447840124985E-014</v>
      </c>
    </row>
    <row r="63" customFormat="false" ht="12" hidden="false" customHeight="false" outlineLevel="0" collapsed="false">
      <c r="B63" s="50" t="n">
        <v>38.5454545</v>
      </c>
      <c r="C63" s="51" t="n">
        <v>382.862107</v>
      </c>
      <c r="D63" s="51" t="n">
        <v>11.3</v>
      </c>
      <c r="E63" s="58" t="n">
        <v>15.8</v>
      </c>
      <c r="F63" s="51" t="n">
        <f aca="false">EXP(-$C$5*$C$6*E63)</f>
        <v>1.40449301592836E-015</v>
      </c>
      <c r="G63" s="51" t="n">
        <f aca="false">EXP(-1*D63*$C$5*$C$7)</f>
        <v>0.152369010436382</v>
      </c>
      <c r="H63" s="52" t="n">
        <v>0.764</v>
      </c>
      <c r="I63" s="58" t="n">
        <v>20.79</v>
      </c>
      <c r="J63" s="53" t="n">
        <v>0.990132855</v>
      </c>
      <c r="K63" s="54" t="n">
        <f aca="false">MIN(167*POWER(B63,-2.38),11.6*POWER(B63,-1.41))</f>
        <v>0.0280608178301371</v>
      </c>
      <c r="L63" s="55" t="n">
        <f aca="false">K63*$N$10*J63*(G63*($D$10-$D$8)+MAX(G63*F63*($D$9-$D$10),0)+F63*$D$11+$D$12)</f>
        <v>1.0435186431452E-007</v>
      </c>
      <c r="M63" s="55" t="n">
        <f aca="false">$K$120*0.000084*(B63/10)^(-0.45)</f>
        <v>1.69353073647848E-005</v>
      </c>
      <c r="N63" s="55" t="n">
        <f aca="false">L63+M63</f>
        <v>1.70396592290993E-005</v>
      </c>
      <c r="O63" s="56" t="n">
        <f aca="false">100*$O$5*SQRT(N63)/(C63*J63*SQRT(($O$4*B63)*$O$6))/$L$5</f>
        <v>1.48824440530543E-008</v>
      </c>
      <c r="P63" s="57" t="n">
        <f aca="false">O63*B63*B63*0.0000000016021773</f>
        <v>3.54267387521113E-014</v>
      </c>
    </row>
    <row r="64" customFormat="false" ht="12" hidden="false" customHeight="false" outlineLevel="0" collapsed="false">
      <c r="B64" s="50" t="n">
        <v>39.3484848</v>
      </c>
      <c r="C64" s="51" t="n">
        <v>359.92496</v>
      </c>
      <c r="D64" s="51" t="n">
        <v>10.7</v>
      </c>
      <c r="E64" s="58" t="n">
        <v>14.98</v>
      </c>
      <c r="F64" s="51" t="n">
        <f aca="false">EXP(-$C$5*$C$6*E64)</f>
        <v>8.28599213870658E-015</v>
      </c>
      <c r="G64" s="51" t="n">
        <f aca="false">EXP(-1*D64*$C$5*$C$7)</f>
        <v>0.16837696061228</v>
      </c>
      <c r="H64" s="52" t="n">
        <v>0.728</v>
      </c>
      <c r="I64" s="58" t="n">
        <v>19.69</v>
      </c>
      <c r="J64" s="53" t="n">
        <v>0.990708935</v>
      </c>
      <c r="K64" s="54" t="n">
        <f aca="false">MIN(167*POWER(B64,-2.38),11.6*POWER(B64,-1.41))</f>
        <v>0.0267170066707301</v>
      </c>
      <c r="L64" s="55" t="n">
        <f aca="false">K64*$N$10*J64*(G64*($D$10-$D$8)+MAX(G64*F64*($D$9-$D$10),0)+F64*$D$11+$D$12)</f>
        <v>1.0985664051085E-007</v>
      </c>
      <c r="M64" s="55" t="n">
        <f aca="false">$K$120*0.000084*(B64/10)^(-0.45)</f>
        <v>1.67788968439873E-005</v>
      </c>
      <c r="N64" s="55" t="n">
        <f aca="false">L64+M64</f>
        <v>1.68887534844982E-005</v>
      </c>
      <c r="O64" s="56" t="n">
        <f aca="false">100*$O$5*SQRT(N64)/(C64*J64*SQRT(($O$4*B64)*$O$6))/$L$5</f>
        <v>1.55898879888229E-008</v>
      </c>
      <c r="P64" s="57" t="n">
        <f aca="false">O64*B64*B64*0.0000000016021773</f>
        <v>3.86731543292132E-014</v>
      </c>
    </row>
    <row r="65" customFormat="false" ht="12" hidden="false" customHeight="false" outlineLevel="0" collapsed="false">
      <c r="B65" s="50" t="n">
        <v>40.1515152</v>
      </c>
      <c r="C65" s="51" t="n">
        <v>338.260582</v>
      </c>
      <c r="D65" s="51" t="n">
        <v>10.2</v>
      </c>
      <c r="E65" s="58" t="n">
        <v>14.22</v>
      </c>
      <c r="F65" s="51" t="n">
        <f aca="false">EXP(-$C$5*$C$6*E65)</f>
        <v>4.29306659642695E-014</v>
      </c>
      <c r="G65" s="51" t="n">
        <f aca="false">EXP(-1*D65*$C$5*$C$7)</f>
        <v>0.182994350170968</v>
      </c>
      <c r="H65" s="52" t="n">
        <v>0.695</v>
      </c>
      <c r="I65" s="58" t="n">
        <v>18.67</v>
      </c>
      <c r="J65" s="53" t="n">
        <v>0.991285015</v>
      </c>
      <c r="K65" s="54" t="n">
        <f aca="false">MIN(167*POWER(B65,-2.38),11.6*POWER(B65,-1.41))</f>
        <v>0.0254627822743038</v>
      </c>
      <c r="L65" s="55" t="n">
        <f aca="false">K65*$N$10*J65*(G65*($D$10-$D$8)+MAX(G65*F65*($D$9-$D$10),0)+F65*$D$11+$D$12)</f>
        <v>1.13854932080948E-007</v>
      </c>
      <c r="M65" s="55" t="n">
        <f aca="false">$K$120*0.000084*(B65/10)^(-0.45)</f>
        <v>1.66270475053339E-005</v>
      </c>
      <c r="N65" s="55" t="n">
        <f aca="false">L65+M65</f>
        <v>1.67409024374148E-005</v>
      </c>
      <c r="O65" s="56" t="n">
        <f aca="false">100*$O$5*SQRT(N65)/(C65*J65*SQRT(($O$4*B65)*$O$6))/$L$5</f>
        <v>1.63401025789387E-008</v>
      </c>
      <c r="P65" s="57" t="n">
        <f aca="false">O65*B65*B65*0.0000000016021773</f>
        <v>4.22055175959022E-014</v>
      </c>
    </row>
    <row r="66" customFormat="false" ht="12" hidden="false" customHeight="false" outlineLevel="0" collapsed="false">
      <c r="B66" s="50" t="n">
        <v>40.9545455</v>
      </c>
      <c r="C66" s="60" t="n">
        <v>330</v>
      </c>
      <c r="D66" s="51" t="n">
        <v>9.64</v>
      </c>
      <c r="E66" s="58" t="n">
        <v>13.51</v>
      </c>
      <c r="F66" s="51" t="n">
        <f aca="false">EXP(-$C$5*$C$6*E66)</f>
        <v>1.99613180229399E-013</v>
      </c>
      <c r="G66" s="51" t="n">
        <f aca="false">EXP(-1*D66*$C$5*$C$7)</f>
        <v>0.200877501898531</v>
      </c>
      <c r="H66" s="52" t="n">
        <v>0.664</v>
      </c>
      <c r="I66" s="58" t="n">
        <v>17.71</v>
      </c>
      <c r="J66" s="53" t="n">
        <v>0.991861095</v>
      </c>
      <c r="K66" s="54" t="n">
        <f aca="false">MIN(167*POWER(B66,-2.38),11.6*POWER(B66,-1.41))</f>
        <v>0.0242905555582034</v>
      </c>
      <c r="L66" s="55" t="n">
        <f aca="false">K66*$N$10*J66*(G66*($D$10-$D$8)+MAX(G66*F66*($D$9-$D$10),0)+F66*$D$11+$D$12)</f>
        <v>1.19296958831352E-007</v>
      </c>
      <c r="M66" s="55" t="n">
        <f aca="false">$K$120*0.000084*(B66/10)^(-0.45)</f>
        <v>1.64795390683195E-005</v>
      </c>
      <c r="N66" s="55" t="n">
        <f aca="false">L66+M66</f>
        <v>1.65988360271509E-005</v>
      </c>
      <c r="O66" s="56" t="n">
        <f aca="false">100*$O$5*SQRT(N66)/(C66*J66*SQRT(($O$4*B66)*$O$6))/$L$5</f>
        <v>1.65039999886604E-008</v>
      </c>
      <c r="P66" s="57" t="n">
        <f aca="false">O66*B66*B66*0.0000000016021773</f>
        <v>4.43510606315558E-014</v>
      </c>
    </row>
    <row r="67" customFormat="false" ht="12" hidden="false" customHeight="false" outlineLevel="0" collapsed="false">
      <c r="B67" s="50" t="n">
        <v>41.7575758</v>
      </c>
      <c r="C67" s="60" t="n">
        <v>330</v>
      </c>
      <c r="D67" s="51" t="n">
        <v>9.16</v>
      </c>
      <c r="E67" s="58" t="n">
        <v>12.83</v>
      </c>
      <c r="F67" s="51" t="n">
        <f aca="false">EXP(-$C$5*$C$6*E67)</f>
        <v>8.69780947019751E-013</v>
      </c>
      <c r="G67" s="51" t="n">
        <f aca="false">EXP(-1*D67*$C$5*$C$7)</f>
        <v>0.217590592049859</v>
      </c>
      <c r="H67" s="52" t="n">
        <v>0.636</v>
      </c>
      <c r="I67" s="58" t="n">
        <v>16.81</v>
      </c>
      <c r="J67" s="53" t="n">
        <v>0.992444376</v>
      </c>
      <c r="K67" s="54" t="n">
        <f aca="false">MIN(167*POWER(B67,-2.38),11.6*POWER(B67,-1.41))</f>
        <v>0.0231935116784658</v>
      </c>
      <c r="L67" s="55" t="n">
        <f aca="false">K67*$N$10*J67*(G67*($D$10-$D$8)+MAX(G67*F67*($D$9-$D$10),0)+F67*$D$11+$D$12)</f>
        <v>1.2345894762607E-007</v>
      </c>
      <c r="M67" s="55" t="n">
        <f aca="false">$K$120*0.000084*(B67/10)^(-0.45)</f>
        <v>1.63361658916002E-005</v>
      </c>
      <c r="N67" s="55" t="n">
        <f aca="false">L67+M67</f>
        <v>1.64596248392263E-005</v>
      </c>
      <c r="O67" s="56" t="n">
        <f aca="false">100*$O$5*SQRT(N67)/(C67*J67*SQRT(($O$4*B67)*$O$6))/$L$5</f>
        <v>1.62662881125579E-008</v>
      </c>
      <c r="P67" s="57" t="n">
        <f aca="false">O67*B67*B67*0.0000000016021773</f>
        <v>4.54432716924414E-014</v>
      </c>
    </row>
    <row r="68" customFormat="false" ht="12" hidden="false" customHeight="false" outlineLevel="0" collapsed="false">
      <c r="B68" s="50" t="n">
        <v>42.5606061</v>
      </c>
      <c r="C68" s="60" t="n">
        <v>330</v>
      </c>
      <c r="D68" s="51" t="n">
        <v>8.71</v>
      </c>
      <c r="E68" s="58" t="n">
        <v>12.21</v>
      </c>
      <c r="F68" s="51" t="n">
        <f aca="false">EXP(-$C$5*$C$6*E68)</f>
        <v>3.32834810360706E-012</v>
      </c>
      <c r="G68" s="51" t="n">
        <f aca="false">EXP(-1*D68*$C$5*$C$7)</f>
        <v>0.234519860902975</v>
      </c>
      <c r="H68" s="52" t="n">
        <v>0.61</v>
      </c>
      <c r="I68" s="58" t="n">
        <v>15.98</v>
      </c>
      <c r="J68" s="53" t="n">
        <v>0.993020456</v>
      </c>
      <c r="K68" s="54" t="n">
        <f aca="false">MIN(167*POWER(B68,-2.38),11.6*POWER(B68,-1.41))</f>
        <v>0.0221655186341249</v>
      </c>
      <c r="L68" s="55" t="n">
        <f aca="false">K68*$N$10*J68*(G68*($D$10-$D$8)+MAX(G68*F68*($D$9-$D$10),0)+F68*$D$11+$D$12)</f>
        <v>1.27240539345421E-007</v>
      </c>
      <c r="M68" s="55" t="n">
        <f aca="false">$K$120*0.000084*(B68/10)^(-0.45)</f>
        <v>1.61967358086922E-005</v>
      </c>
      <c r="N68" s="55" t="n">
        <f aca="false">L68+M68</f>
        <v>1.63239763480376E-005</v>
      </c>
      <c r="O68" s="56" t="n">
        <f aca="false">100*$O$5*SQRT(N68)/(C68*J68*SQRT(($O$4*B68)*$O$6))/$L$5</f>
        <v>1.60362637224154E-008</v>
      </c>
      <c r="P68" s="57" t="n">
        <f aca="false">O68*B68*B68*0.0000000016021773</f>
        <v>4.65403207605269E-014</v>
      </c>
    </row>
    <row r="69" customFormat="false" ht="12" hidden="false" customHeight="false" outlineLevel="0" collapsed="false">
      <c r="B69" s="50" t="n">
        <v>43.3636364</v>
      </c>
      <c r="C69" s="60" t="n">
        <v>330</v>
      </c>
      <c r="D69" s="51" t="n">
        <v>8.29</v>
      </c>
      <c r="E69" s="58" t="n">
        <v>11.64</v>
      </c>
      <c r="F69" s="51" t="n">
        <f aca="false">EXP(-$C$5*$C$6*E69)</f>
        <v>1.14299958637333E-011</v>
      </c>
      <c r="G69" s="51" t="n">
        <f aca="false">EXP(-1*D69*$C$5*$C$7)</f>
        <v>0.251506863388398</v>
      </c>
      <c r="H69" s="52" t="n">
        <v>0.586</v>
      </c>
      <c r="I69" s="58" t="n">
        <v>15.2</v>
      </c>
      <c r="J69" s="53" t="n">
        <v>0.993596536</v>
      </c>
      <c r="K69" s="54" t="n">
        <f aca="false">MIN(167*POWER(B69,-2.38),11.6*POWER(B69,-1.41))</f>
        <v>0.0212010474897023</v>
      </c>
      <c r="L69" s="55" t="n">
        <f aca="false">K69*$N$10*J69*(G69*($D$10-$D$8)+MAX(G69*F69*($D$9-$D$10),0)+F69*$D$11+$D$12)</f>
        <v>1.30595145967785E-007</v>
      </c>
      <c r="M69" s="55" t="n">
        <f aca="false">$K$120*0.000084*(B69/10)^(-0.45)</f>
        <v>1.60610689941594E-005</v>
      </c>
      <c r="N69" s="55" t="n">
        <f aca="false">L69+M69</f>
        <v>1.61916641401272E-005</v>
      </c>
      <c r="O69" s="56" t="n">
        <f aca="false">100*$O$5*SQRT(N69)/(C69*J69*SQRT(($O$4*B69)*$O$6))/$L$5</f>
        <v>1.58133956054668E-008</v>
      </c>
      <c r="P69" s="57" t="n">
        <f aca="false">O69*B69*B69*0.0000000016021773</f>
        <v>4.76416833906704E-014</v>
      </c>
    </row>
    <row r="70" customFormat="false" ht="12" hidden="false" customHeight="false" outlineLevel="0" collapsed="false">
      <c r="B70" s="50" t="n">
        <v>44.1666667</v>
      </c>
      <c r="C70" s="60" t="n">
        <v>330</v>
      </c>
      <c r="D70" s="51" t="n">
        <v>7.9</v>
      </c>
      <c r="E70" s="58" t="n">
        <v>11.09</v>
      </c>
      <c r="F70" s="51" t="n">
        <f aca="false">EXP(-$C$5*$C$6*E70)</f>
        <v>3.75891752225176E-011</v>
      </c>
      <c r="G70" s="51" t="n">
        <f aca="false">EXP(-1*D70*$C$5*$C$7)</f>
        <v>0.268380373668237</v>
      </c>
      <c r="H70" s="52" t="n">
        <v>0.563</v>
      </c>
      <c r="I70" s="58" t="n">
        <v>14.47</v>
      </c>
      <c r="J70" s="53" t="n">
        <v>0.994179817</v>
      </c>
      <c r="K70" s="54" t="n">
        <f aca="false">MIN(167*POWER(B70,-2.38),11.6*POWER(B70,-1.41))</f>
        <v>0.0202951033064273</v>
      </c>
      <c r="L70" s="55" t="n">
        <f aca="false">K70*$N$10*J70*(G70*($D$10-$D$8)+MAX(G70*F70*($D$9-$D$10),0)+F70*$D$11+$D$12)</f>
        <v>1.33480199053702E-007</v>
      </c>
      <c r="M70" s="55" t="n">
        <f aca="false">$K$120*0.000084*(B70/10)^(-0.45)</f>
        <v>1.59289969600059E-005</v>
      </c>
      <c r="N70" s="55" t="n">
        <f aca="false">L70+M70</f>
        <v>1.60624771590596E-005</v>
      </c>
      <c r="O70" s="56" t="n">
        <f aca="false">100*$O$5*SQRT(N70)/(C70*J70*SQRT(($O$4*B70)*$O$6))/$L$5</f>
        <v>1.55971883162053E-008</v>
      </c>
      <c r="P70" s="57" t="n">
        <f aca="false">O70*B70*B70*0.0000000016021773</f>
        <v>4.87468029408819E-014</v>
      </c>
    </row>
    <row r="71" customFormat="false" ht="12" hidden="false" customHeight="false" outlineLevel="0" collapsed="false">
      <c r="B71" s="50" t="n">
        <v>44.969697</v>
      </c>
      <c r="C71" s="60" t="n">
        <v>330</v>
      </c>
      <c r="D71" s="51" t="n">
        <v>7.54</v>
      </c>
      <c r="E71" s="58" t="n">
        <v>10.58</v>
      </c>
      <c r="F71" s="51" t="n">
        <f aca="false">EXP(-$C$5*$C$6*E71)</f>
        <v>1.13364820231588E-010</v>
      </c>
      <c r="G71" s="51" t="n">
        <f aca="false">EXP(-1*D71*$C$5*$C$7)</f>
        <v>0.284958991084032</v>
      </c>
      <c r="H71" s="52" t="n">
        <v>0.542</v>
      </c>
      <c r="I71" s="58" t="n">
        <v>13.78</v>
      </c>
      <c r="J71" s="53" t="n">
        <v>0.994755897</v>
      </c>
      <c r="K71" s="54" t="n">
        <f aca="false">MIN(167*POWER(B71,-2.38),11.6*POWER(B71,-1.41))</f>
        <v>0.0194431650620612</v>
      </c>
      <c r="L71" s="55" t="n">
        <f aca="false">K71*$N$10*J71*(G71*($D$10-$D$8)+MAX(G71*F71*($D$9-$D$10),0)+F71*$D$11+$D$12)</f>
        <v>1.35855099421474E-007</v>
      </c>
      <c r="M71" s="55" t="n">
        <f aca="false">$K$120*0.000084*(B71/10)^(-0.45)</f>
        <v>1.58003616502319E-005</v>
      </c>
      <c r="N71" s="55" t="n">
        <f aca="false">L71+M71</f>
        <v>1.59362167496534E-005</v>
      </c>
      <c r="O71" s="56" t="n">
        <f aca="false">100*$O$5*SQRT(N71)/(C71*J71*SQRT(($O$4*B71)*$O$6))/$L$5</f>
        <v>1.53875125196721E-008</v>
      </c>
      <c r="P71" s="57" t="n">
        <f aca="false">O71*B71*B71*0.0000000016021773</f>
        <v>4.98561704307783E-014</v>
      </c>
    </row>
    <row r="72" customFormat="false" ht="12" hidden="false" customHeight="false" outlineLevel="0" collapsed="false">
      <c r="B72" s="50" t="n">
        <v>45.7727273</v>
      </c>
      <c r="C72" s="60" t="n">
        <v>330</v>
      </c>
      <c r="D72" s="51" t="n">
        <v>7.2</v>
      </c>
      <c r="E72" s="58" t="n">
        <v>10.11</v>
      </c>
      <c r="F72" s="51" t="n">
        <f aca="false">EXP(-$C$5*$C$6*E72)</f>
        <v>3.13539740479339E-010</v>
      </c>
      <c r="G72" s="51" t="n">
        <f aca="false">EXP(-1*D72*$C$5*$C$7)</f>
        <v>0.301555861913099</v>
      </c>
      <c r="H72" s="52" t="n">
        <v>0.522</v>
      </c>
      <c r="I72" s="58" t="n">
        <v>13.14</v>
      </c>
      <c r="J72" s="53" t="n">
        <v>0.995331977</v>
      </c>
      <c r="K72" s="54" t="n">
        <f aca="false">MIN(167*POWER(B72,-2.38),11.6*POWER(B72,-1.41))</f>
        <v>0.018641133254105</v>
      </c>
      <c r="L72" s="55" t="n">
        <f aca="false">K72*$N$10*J72*(G72*($D$10-$D$8)+MAX(G72*F72*($D$9-$D$10),0)+F72*$D$11+$D$12)</f>
        <v>1.37917273375865E-007</v>
      </c>
      <c r="M72" s="55" t="n">
        <f aca="false">$K$120*0.000084*(B72/10)^(-0.45)</f>
        <v>1.56750146223922E-005</v>
      </c>
      <c r="N72" s="55" t="n">
        <f aca="false">L72+M72</f>
        <v>1.58129318957681E-005</v>
      </c>
      <c r="O72" s="56" t="n">
        <f aca="false">100*$O$5*SQRT(N72)/(C72*J72*SQRT(($O$4*B72)*$O$6))/$L$5</f>
        <v>1.51840336215004E-008</v>
      </c>
      <c r="P72" s="57" t="n">
        <f aca="false">O72*B72*B72*0.0000000016021773</f>
        <v>5.09696100501218E-014</v>
      </c>
    </row>
    <row r="73" customFormat="false" ht="12" hidden="false" customHeight="false" outlineLevel="0" collapsed="false">
      <c r="B73" s="50" t="n">
        <v>46.5757576</v>
      </c>
      <c r="C73" s="60" t="n">
        <v>330</v>
      </c>
      <c r="D73" s="51" t="n">
        <v>6.88</v>
      </c>
      <c r="E73" s="58" t="n">
        <v>9.66</v>
      </c>
      <c r="F73" s="51" t="n">
        <f aca="false">EXP(-$C$5*$C$6*E73)</f>
        <v>8.30436209149871E-010</v>
      </c>
      <c r="G73" s="51" t="n">
        <f aca="false">EXP(-1*D73*$C$5*$C$7)</f>
        <v>0.318058484369585</v>
      </c>
      <c r="H73" s="52" t="n">
        <v>0.504</v>
      </c>
      <c r="I73" s="58" t="n">
        <v>12.54</v>
      </c>
      <c r="J73" s="53" t="n">
        <v>0.995915258</v>
      </c>
      <c r="K73" s="54" t="n">
        <f aca="false">MIN(167*POWER(B73,-2.38),11.6*POWER(B73,-1.41))</f>
        <v>0.0178852840896977</v>
      </c>
      <c r="L73" s="55" t="n">
        <f aca="false">K73*$N$10*J73*(G73*($D$10-$D$8)+MAX(G73*F73*($D$9-$D$10),0)+F73*$D$11+$D$12)</f>
        <v>1.39648771236744E-007</v>
      </c>
      <c r="M73" s="55" t="n">
        <f aca="false">$K$120*0.000084*(B73/10)^(-0.45)</f>
        <v>1.55528163064319E-005</v>
      </c>
      <c r="N73" s="55" t="n">
        <f aca="false">L73+M73</f>
        <v>1.56924650776686E-005</v>
      </c>
      <c r="O73" s="56" t="n">
        <f aca="false">100*$O$5*SQRT(N73)/(C73*J73*SQRT(($O$4*B73)*$O$6))/$L$5</f>
        <v>1.49863387029172E-008</v>
      </c>
      <c r="P73" s="57" t="n">
        <f aca="false">O73*B73*B73*0.0000000016021773</f>
        <v>5.20865957224801E-014</v>
      </c>
    </row>
    <row r="74" customFormat="false" ht="12" hidden="false" customHeight="false" outlineLevel="0" collapsed="false">
      <c r="B74" s="50" t="n">
        <v>47.3787879</v>
      </c>
      <c r="C74" s="60" t="n">
        <v>330</v>
      </c>
      <c r="D74" s="51" t="n">
        <v>6.58</v>
      </c>
      <c r="E74" s="58" t="n">
        <v>9.243</v>
      </c>
      <c r="F74" s="51" t="n">
        <f aca="false">EXP(-$C$5*$C$6*E74)</f>
        <v>2.04785383898306E-009</v>
      </c>
      <c r="G74" s="51" t="n">
        <f aca="false">EXP(-1*D74*$C$5*$C$7)</f>
        <v>0.334348973708282</v>
      </c>
      <c r="H74" s="52" t="n">
        <v>0.487</v>
      </c>
      <c r="I74" s="58" t="n">
        <v>11.97</v>
      </c>
      <c r="J74" s="53" t="n">
        <v>0.996491338</v>
      </c>
      <c r="K74" s="54" t="n">
        <f aca="false">MIN(167*POWER(B74,-2.38),11.6*POWER(B74,-1.41))</f>
        <v>0.0171722293377857</v>
      </c>
      <c r="L74" s="55" t="n">
        <f aca="false">K74*$N$10*J74*(G74*($D$10-$D$8)+MAX(G74*F74*($D$9-$D$10),0)+F74*$D$11+$D$12)</f>
        <v>1.41031128531166E-007</v>
      </c>
      <c r="M74" s="55" t="n">
        <f aca="false">$K$120*0.000084*(B74/10)^(-0.45)</f>
        <v>1.54336353323143E-005</v>
      </c>
      <c r="N74" s="55" t="n">
        <f aca="false">L74+M74</f>
        <v>1.55746664608455E-005</v>
      </c>
      <c r="O74" s="56" t="n">
        <f aca="false">100*$O$5*SQRT(N74)/(C74*J74*SQRT(($O$4*B74)*$O$6))/$L$5</f>
        <v>1.47943600817623E-008</v>
      </c>
      <c r="P74" s="57" t="n">
        <f aca="false">O74*B74*B74*0.0000000016021773</f>
        <v>5.32077201830174E-014</v>
      </c>
    </row>
    <row r="75" customFormat="false" ht="12" hidden="false" customHeight="false" outlineLevel="0" collapsed="false">
      <c r="B75" s="50" t="n">
        <v>48.1818182</v>
      </c>
      <c r="C75" s="60" t="n">
        <v>330</v>
      </c>
      <c r="D75" s="51" t="n">
        <v>6.3</v>
      </c>
      <c r="E75" s="58" t="n">
        <v>8.851</v>
      </c>
      <c r="F75" s="51" t="n">
        <f aca="false">EXP(-$C$5*$C$6*E75)</f>
        <v>4.78399674830713E-009</v>
      </c>
      <c r="G75" s="51" t="n">
        <f aca="false">EXP(-1*D75*$C$5*$C$7)</f>
        <v>0.35030537671844</v>
      </c>
      <c r="H75" s="52" t="n">
        <v>0.471</v>
      </c>
      <c r="I75" s="58" t="n">
        <v>11.44</v>
      </c>
      <c r="J75" s="53" t="n">
        <v>0.997067418</v>
      </c>
      <c r="K75" s="54" t="n">
        <f aca="false">MIN(167*POWER(B75,-2.38),11.6*POWER(B75,-1.41))</f>
        <v>0.0164988810619708</v>
      </c>
      <c r="L75" s="55" t="n">
        <f aca="false">K75*$N$10*J75*(G75*($D$10-$D$8)+MAX(G75*F75*($D$9-$D$10),0)+F75*$D$11+$D$12)</f>
        <v>1.42051805878483E-007</v>
      </c>
      <c r="M75" s="55" t="n">
        <f aca="false">$K$120*0.000084*(B75/10)^(-0.45)</f>
        <v>1.53173479190075E-005</v>
      </c>
      <c r="N75" s="55" t="n">
        <f aca="false">L75+M75</f>
        <v>1.5459399724886E-005</v>
      </c>
      <c r="O75" s="56" t="n">
        <f aca="false">100*$O$5*SQRT(N75)/(C75*J75*SQRT(($O$4*B75)*$O$6))/$L$5</f>
        <v>1.46077223184012E-008</v>
      </c>
      <c r="P75" s="57" t="n">
        <f aca="false">O75*B75*B75*0.0000000016021773</f>
        <v>5.43324699079621E-014</v>
      </c>
    </row>
    <row r="76" customFormat="false" ht="12" hidden="false" customHeight="false" outlineLevel="0" collapsed="false">
      <c r="B76" s="50" t="n">
        <v>48.9848485</v>
      </c>
      <c r="C76" s="60" t="n">
        <v>330</v>
      </c>
      <c r="D76" s="51" t="n">
        <v>6.03</v>
      </c>
      <c r="E76" s="58" t="n">
        <v>8.482</v>
      </c>
      <c r="F76" s="51" t="n">
        <f aca="false">EXP(-$C$5*$C$6*E76)</f>
        <v>1.06331537997746E-008</v>
      </c>
      <c r="G76" s="51" t="n">
        <f aca="false">EXP(-1*D76*$C$5*$C$7)</f>
        <v>0.366412694581052</v>
      </c>
      <c r="H76" s="52" t="n">
        <v>0.456</v>
      </c>
      <c r="I76" s="58" t="n">
        <v>10.94</v>
      </c>
      <c r="J76" s="53" t="n">
        <v>0.997643498</v>
      </c>
      <c r="K76" s="54" t="n">
        <f aca="false">MIN(167*POWER(B76,-2.38),11.6*POWER(B76,-1.41))</f>
        <v>0.0158624205712458</v>
      </c>
      <c r="L76" s="55" t="n">
        <f aca="false">K76*$N$10*J76*(G76*($D$10-$D$8)+MAX(G76*F76*($D$9-$D$10),0)+F76*$D$11+$D$12)</f>
        <v>1.42938379761034E-007</v>
      </c>
      <c r="M76" s="55" t="n">
        <f aca="false">$K$120*0.000084*(B76/10)^(-0.45)</f>
        <v>1.52038373183139E-005</v>
      </c>
      <c r="N76" s="55" t="n">
        <f aca="false">L76+M76</f>
        <v>1.53467756980749E-005</v>
      </c>
      <c r="O76" s="56" t="n">
        <f aca="false">100*$O$5*SQRT(N76)/(C76*J76*SQRT(($O$4*B76)*$O$6))/$L$5</f>
        <v>1.44262887353521E-008</v>
      </c>
      <c r="P76" s="57" t="n">
        <f aca="false">O76*B76*B76*0.0000000016021773</f>
        <v>5.54611324124559E-014</v>
      </c>
    </row>
    <row r="77" customFormat="false" ht="12" hidden="false" customHeight="false" outlineLevel="0" collapsed="false">
      <c r="B77" s="50" t="n">
        <v>49.7878788</v>
      </c>
      <c r="C77" s="60" t="n">
        <v>330</v>
      </c>
      <c r="D77" s="51" t="n">
        <v>5.78</v>
      </c>
      <c r="E77" s="58" t="n">
        <v>8.129</v>
      </c>
      <c r="F77" s="51" t="n">
        <f aca="false">EXP(-$C$5*$C$6*E77)</f>
        <v>2.28293122886778E-008</v>
      </c>
      <c r="G77" s="51" t="n">
        <f aca="false">EXP(-1*D77*$C$5*$C$7)</f>
        <v>0.381986504321865</v>
      </c>
      <c r="H77" s="52" t="n">
        <v>0.442</v>
      </c>
      <c r="I77" s="58" t="n">
        <v>10.47</v>
      </c>
      <c r="J77" s="53" t="n">
        <v>0.998226779</v>
      </c>
      <c r="K77" s="54" t="n">
        <f aca="false">MIN(167*POWER(B77,-2.38),11.6*POWER(B77,-1.41))</f>
        <v>0.0152602710249613</v>
      </c>
      <c r="L77" s="55" t="n">
        <f aca="false">K77*$N$10*J77*(G77*($D$10-$D$8)+MAX(G77*F77*($D$9-$D$10),0)+F77*$D$11+$D$12)</f>
        <v>1.43449202771053E-007</v>
      </c>
      <c r="M77" s="55" t="n">
        <f aca="false">$K$120*0.000084*(B77/10)^(-0.45)</f>
        <v>1.50929933078116E-005</v>
      </c>
      <c r="N77" s="55" t="n">
        <f aca="false">L77+M77</f>
        <v>1.52364425105827E-005</v>
      </c>
      <c r="O77" s="56" t="n">
        <f aca="false">100*$O$5*SQRT(N77)/(C77*J77*SQRT(($O$4*B77)*$O$6))/$L$5</f>
        <v>1.42496129737989E-008</v>
      </c>
      <c r="P77" s="57" t="n">
        <f aca="false">O77*B77*B77*0.0000000016021773</f>
        <v>5.65927620433023E-014</v>
      </c>
      <c r="T77" s="61"/>
      <c r="U77" s="33"/>
    </row>
    <row r="78" customFormat="false" ht="12" hidden="false" customHeight="false" outlineLevel="0" collapsed="false">
      <c r="B78" s="50" t="n">
        <v>50.5909091</v>
      </c>
      <c r="C78" s="60" t="n">
        <v>330</v>
      </c>
      <c r="D78" s="51" t="n">
        <v>5.55</v>
      </c>
      <c r="E78" s="58" t="n">
        <v>7.8</v>
      </c>
      <c r="F78" s="51" t="n">
        <f aca="false">EXP(-$C$5*$C$6*E78)</f>
        <v>4.65331907222054E-008</v>
      </c>
      <c r="G78" s="51" t="n">
        <f aca="false">EXP(-1*D78*$C$5*$C$7)</f>
        <v>0.396898380331053</v>
      </c>
      <c r="H78" s="52" t="n">
        <v>0.222</v>
      </c>
      <c r="I78" s="58" t="n">
        <v>10.03</v>
      </c>
      <c r="J78" s="53" t="n">
        <v>0.9965450116</v>
      </c>
      <c r="K78" s="54" t="n">
        <f aca="false">MIN(167*POWER(B78,-2.38),11.6*POWER(B78,-1.41))</f>
        <v>0.0146900732113587</v>
      </c>
      <c r="L78" s="55" t="n">
        <f aca="false">K78*$N$10*J78*(G78*($D$10-$D$8)+MAX(G78*F78*($D$9-$D$10),0)+F78*$D$11+$D$12)</f>
        <v>1.43253710248273E-007</v>
      </c>
      <c r="M78" s="55" t="n">
        <f aca="false">$K$120*0.000084*(B78/10)^(-0.45)</f>
        <v>1.49847117278542E-005</v>
      </c>
      <c r="N78" s="55" t="n">
        <f aca="false">L78+M78</f>
        <v>1.51279654381025E-005</v>
      </c>
      <c r="O78" s="56" t="n">
        <f aca="false">100*$O$5*SQRT(N78)/(C78*J78*SQRT(($O$4*B78)*$O$6))/$L$5</f>
        <v>1.41094280364025E-008</v>
      </c>
      <c r="P78" s="57" t="n">
        <f aca="false">O78*B78*B78*0.0000000016021773</f>
        <v>5.78582042467888E-014</v>
      </c>
      <c r="T78" s="61"/>
      <c r="U78" s="33"/>
    </row>
    <row r="79" customFormat="false" ht="12" hidden="false" customHeight="false" outlineLevel="0" collapsed="false">
      <c r="B79" s="50" t="n">
        <v>51.3939394</v>
      </c>
      <c r="C79" s="60" t="n">
        <v>330</v>
      </c>
      <c r="D79" s="51" t="n">
        <v>5.32</v>
      </c>
      <c r="E79" s="58" t="n">
        <v>7.488</v>
      </c>
      <c r="F79" s="51" t="n">
        <f aca="false">EXP(-$C$5*$C$6*E79)</f>
        <v>9.14223370946667E-008</v>
      </c>
      <c r="G79" s="51" t="n">
        <f aca="false">EXP(-1*D79*$C$5*$C$7)</f>
        <v>0.412392381738907</v>
      </c>
      <c r="H79" s="52" t="n">
        <v>0.211</v>
      </c>
      <c r="I79" s="58" t="n">
        <v>9.608</v>
      </c>
      <c r="J79" s="53" t="n">
        <v>0.9940596036</v>
      </c>
      <c r="K79" s="54" t="n">
        <f aca="false">MIN(167*POWER(B79,-2.38),11.6*POWER(B79,-1.41))</f>
        <v>0.0141496640886728</v>
      </c>
      <c r="L79" s="55" t="n">
        <f aca="false">K79*$N$10*J79*(G79*($D$10-$D$8)+MAX(G79*F79*($D$9-$D$10),0)+F79*$D$11+$D$12)</f>
        <v>1.43040918525074E-007</v>
      </c>
      <c r="M79" s="55" t="n">
        <f aca="false">$K$120*0.000084*(B79/10)^(-0.45)</f>
        <v>1.48788940581733E-005</v>
      </c>
      <c r="N79" s="55" t="n">
        <f aca="false">L79+M79</f>
        <v>1.50219349766984E-005</v>
      </c>
      <c r="O79" s="56" t="n">
        <f aca="false">100*$O$5*SQRT(N79)/(C79*J79*SQRT(($O$4*B79)*$O$6))/$L$5</f>
        <v>1.39844975695834E-008</v>
      </c>
      <c r="P79" s="57" t="n">
        <f aca="false">O79*B79*B79*0.0000000016021773</f>
        <v>5.91808581375873E-014</v>
      </c>
      <c r="T79" s="61"/>
      <c r="U79" s="33"/>
    </row>
    <row r="80" customFormat="false" ht="12" hidden="false" customHeight="false" outlineLevel="0" collapsed="false">
      <c r="B80" s="50" t="n">
        <v>52.1969697</v>
      </c>
      <c r="C80" s="60" t="n">
        <v>330</v>
      </c>
      <c r="D80" s="51" t="n">
        <v>5.11</v>
      </c>
      <c r="E80" s="58" t="n">
        <v>7.19</v>
      </c>
      <c r="F80" s="51" t="n">
        <f aca="false">EXP(-$C$5*$C$6*E80)</f>
        <v>1.74253447972145E-007</v>
      </c>
      <c r="G80" s="51" t="n">
        <f aca="false">EXP(-1*D80*$C$5*$C$7)</f>
        <v>0.427066730690475</v>
      </c>
      <c r="H80" s="52" t="n">
        <v>0.201</v>
      </c>
      <c r="I80" s="58" t="n">
        <v>9.209</v>
      </c>
      <c r="J80" s="53" t="n">
        <v>0.991543128</v>
      </c>
      <c r="K80" s="54" t="n">
        <f aca="false">MIN(167*POWER(B80,-2.38),11.6*POWER(B80,-1.41))</f>
        <v>0.0136370577364835</v>
      </c>
      <c r="L80" s="55" t="n">
        <f aca="false">K80*$N$10*J80*(G80*($D$10-$D$8)+MAX(G80*F80*($D$9-$D$10),0)+F80*$D$11+$D$12)</f>
        <v>1.4245296901507E-007</v>
      </c>
      <c r="M80" s="55" t="n">
        <f aca="false">$K$120*0.000084*(B80/10)^(-0.45)</f>
        <v>1.47754470301332E-005</v>
      </c>
      <c r="N80" s="55" t="n">
        <f aca="false">L80+M80</f>
        <v>1.49178999991483E-005</v>
      </c>
      <c r="O80" s="56" t="n">
        <f aca="false">100*$O$5*SQRT(N80)/(C80*J80*SQRT(($O$4*B80)*$O$6))/$L$5</f>
        <v>1.38634684947241E-008</v>
      </c>
      <c r="P80" s="57" t="n">
        <f aca="false">O80*B80*B80*0.0000000016021773</f>
        <v>6.05163959194848E-014</v>
      </c>
      <c r="T80" s="61"/>
      <c r="U80" s="33"/>
    </row>
    <row r="81" customFormat="false" ht="12" hidden="false" customHeight="false" outlineLevel="0" collapsed="false">
      <c r="B81" s="50" t="n">
        <v>53</v>
      </c>
      <c r="C81" s="60" t="n">
        <v>330</v>
      </c>
      <c r="D81" s="51" t="n">
        <v>4.91</v>
      </c>
      <c r="E81" s="58" t="n">
        <v>6.912</v>
      </c>
      <c r="F81" s="51" t="n">
        <f aca="false">EXP(-$C$5*$C$6*E81)</f>
        <v>3.18060570192603E-007</v>
      </c>
      <c r="G81" s="51" t="n">
        <f aca="false">EXP(-1*D81*$C$5*$C$7)</f>
        <v>0.441527488176865</v>
      </c>
      <c r="H81" s="52" t="n">
        <v>0.192</v>
      </c>
      <c r="I81" s="58" t="n">
        <v>8.837</v>
      </c>
      <c r="J81" s="53" t="n">
        <v>0.98905772</v>
      </c>
      <c r="K81" s="54" t="n">
        <f aca="false">MIN(167*POWER(B81,-2.38),11.6*POWER(B81,-1.41))</f>
        <v>0.0131504284145306</v>
      </c>
      <c r="L81" s="55" t="n">
        <f aca="false">K81*$N$10*J81*(G81*($D$10-$D$8)+MAX(G81*F81*($D$9-$D$10),0)+F81*$D$11+$D$12)</f>
        <v>1.41748369559701E-007</v>
      </c>
      <c r="M81" s="55" t="n">
        <f aca="false">$K$120*0.000084*(B81/10)^(-0.45)</f>
        <v>1.46742822711407E-005</v>
      </c>
      <c r="N81" s="55" t="n">
        <f aca="false">L81+M81</f>
        <v>1.48160306407004E-005</v>
      </c>
      <c r="O81" s="56" t="n">
        <f aca="false">100*$O$5*SQRT(N81)/(C81*J81*SQRT(($O$4*B81)*$O$6))/$L$5</f>
        <v>1.37454407502332E-008</v>
      </c>
      <c r="P81" s="57" t="n">
        <f aca="false">O81*B81*B81*0.0000000016021773</f>
        <v>6.18615765141886E-014</v>
      </c>
      <c r="T81" s="61"/>
      <c r="U81" s="33"/>
    </row>
    <row r="82" customFormat="false" ht="12" hidden="false" customHeight="false" outlineLevel="0" collapsed="false">
      <c r="B82" s="50" t="n">
        <v>53.8030303</v>
      </c>
      <c r="C82" s="60" t="n">
        <v>330</v>
      </c>
      <c r="D82" s="51" t="n">
        <v>4.73</v>
      </c>
      <c r="E82" s="58" t="n">
        <v>6.649</v>
      </c>
      <c r="F82" s="51" t="n">
        <f aca="false">EXP(-$C$5*$C$6*E82)</f>
        <v>5.62001959727046E-007</v>
      </c>
      <c r="G82" s="51" t="n">
        <f aca="false">EXP(-1*D82*$C$5*$C$7)</f>
        <v>0.454960353041632</v>
      </c>
      <c r="H82" s="52" t="n">
        <v>0.183</v>
      </c>
      <c r="I82" s="58" t="n">
        <v>8.485</v>
      </c>
      <c r="J82" s="53" t="n">
        <v>0.986572312</v>
      </c>
      <c r="K82" s="54" t="n">
        <f aca="false">MIN(167*POWER(B82,-2.38),11.6*POWER(B82,-1.41))</f>
        <v>0.0126880954681547</v>
      </c>
      <c r="L82" s="55" t="n">
        <f aca="false">K82*$N$10*J82*(G82*($D$10-$D$8)+MAX(G82*F82*($D$9-$D$10),0)+F82*$D$11+$D$12)</f>
        <v>1.40707837510409E-007</v>
      </c>
      <c r="M82" s="55" t="n">
        <f aca="false">$K$120*0.000084*(B82/10)^(-0.45)</f>
        <v>1.45753159781011E-005</v>
      </c>
      <c r="N82" s="55" t="n">
        <f aca="false">L82+M82</f>
        <v>1.47160238156115E-005</v>
      </c>
      <c r="O82" s="56" t="n">
        <f aca="false">100*$O$5*SQRT(N82)/(C82*J82*SQRT(($O$4*B82)*$O$6))/$L$5</f>
        <v>1.36306089382192E-008</v>
      </c>
      <c r="P82" s="57" t="n">
        <f aca="false">O82*B82*B82*0.0000000016021773</f>
        <v>6.32177894665979E-014</v>
      </c>
      <c r="T82" s="61"/>
      <c r="U82" s="33"/>
    </row>
    <row r="83" customFormat="false" ht="12" hidden="false" customHeight="false" outlineLevel="0" collapsed="false">
      <c r="B83" s="50" t="n">
        <v>54.6060606</v>
      </c>
      <c r="C83" s="60" t="n">
        <v>330</v>
      </c>
      <c r="D83" s="51" t="n">
        <v>4.55</v>
      </c>
      <c r="E83" s="58" t="n">
        <v>6.397</v>
      </c>
      <c r="F83" s="51" t="n">
        <f aca="false">EXP(-$C$5*$C$6*E83)</f>
        <v>9.69673422473568E-007</v>
      </c>
      <c r="G83" s="51" t="n">
        <f aca="false">EXP(-1*D83*$C$5*$C$7)</f>
        <v>0.468801894293051</v>
      </c>
      <c r="H83" s="52" t="n">
        <v>0.174</v>
      </c>
      <c r="I83" s="58" t="n">
        <v>8.148</v>
      </c>
      <c r="J83" s="53" t="n">
        <v>0.9840558364</v>
      </c>
      <c r="K83" s="54" t="n">
        <f aca="false">MIN(167*POWER(B83,-2.38),11.6*POWER(B83,-1.41))</f>
        <v>0.012248509855136</v>
      </c>
      <c r="L83" s="55" t="n">
        <f aca="false">K83*$N$10*J83*(G83*($D$10-$D$8)+MAX(G83*F83*($D$9-$D$10),0)+F83*$D$11+$D$12)</f>
        <v>1.39827123619375E-007</v>
      </c>
      <c r="M83" s="55" t="n">
        <f aca="false">$K$120*0.000084*(B83/10)^(-0.45)</f>
        <v>1.44784686171539E-005</v>
      </c>
      <c r="N83" s="55" t="n">
        <f aca="false">L83+M83</f>
        <v>1.46182957407733E-005</v>
      </c>
      <c r="O83" s="56" t="n">
        <f aca="false">100*$O$5*SQRT(N83)/(C83*J83*SQRT(($O$4*B83)*$O$6))/$L$5</f>
        <v>1.35194964287806E-008</v>
      </c>
      <c r="P83" s="57" t="n">
        <f aca="false">O83*B83*B83*0.0000000016021773</f>
        <v>6.45881407625199E-014</v>
      </c>
      <c r="T83" s="61"/>
      <c r="U83" s="33"/>
    </row>
    <row r="84" customFormat="false" ht="12" hidden="false" customHeight="false" outlineLevel="0" collapsed="false">
      <c r="B84" s="50" t="n">
        <v>55.4090909</v>
      </c>
      <c r="C84" s="60" t="n">
        <v>330</v>
      </c>
      <c r="D84" s="51" t="n">
        <v>4.38</v>
      </c>
      <c r="E84" s="58" t="n">
        <v>6.161</v>
      </c>
      <c r="F84" s="51" t="n">
        <f aca="false">EXP(-$C$5*$C$6*E84)</f>
        <v>1.61611651435061E-006</v>
      </c>
      <c r="G84" s="51" t="n">
        <f aca="false">EXP(-1*D84*$C$5*$C$7)</f>
        <v>0.48226091208887</v>
      </c>
      <c r="H84" s="52" t="n">
        <v>0.166</v>
      </c>
      <c r="I84" s="58" t="n">
        <v>7.832</v>
      </c>
      <c r="J84" s="53" t="n">
        <v>0.9815704284</v>
      </c>
      <c r="K84" s="54" t="n">
        <f aca="false">MIN(167*POWER(B84,-2.38),11.6*POWER(B84,-1.41))</f>
        <v>0.0118302420990081</v>
      </c>
      <c r="L84" s="55" t="n">
        <f aca="false">K84*$N$10*J84*(G84*($D$10-$D$8)+MAX(G84*F84*($D$9-$D$10),0)+F84*$D$11+$D$12)</f>
        <v>1.38912296480108E-007</v>
      </c>
      <c r="M84" s="55" t="n">
        <f aca="false">$K$120*0.000084*(B84/10)^(-0.45)</f>
        <v>1.43836646472208E-005</v>
      </c>
      <c r="N84" s="55" t="n">
        <f aca="false">L84+M84</f>
        <v>1.45225769437009E-005</v>
      </c>
      <c r="O84" s="56" t="n">
        <f aca="false">100*$O$5*SQRT(N84)/(C84*J84*SQRT(($O$4*B84)*$O$6))/$L$5</f>
        <v>1.34110312051952E-008</v>
      </c>
      <c r="P84" s="57" t="n">
        <f aca="false">O84*B84*B84*0.0000000016021773</f>
        <v>6.59682247014119E-014</v>
      </c>
      <c r="T84" s="61"/>
      <c r="U84" s="33"/>
    </row>
    <row r="85" customFormat="false" ht="12" hidden="false" customHeight="false" outlineLevel="0" collapsed="false">
      <c r="B85" s="50" t="n">
        <v>56.2121212</v>
      </c>
      <c r="C85" s="60" t="n">
        <v>330</v>
      </c>
      <c r="D85" s="51" t="n">
        <v>4.22</v>
      </c>
      <c r="E85" s="58" t="n">
        <v>5.937</v>
      </c>
      <c r="F85" s="51" t="n">
        <f aca="false">EXP(-$C$5*$C$6*E85)</f>
        <v>2.6244571061893E-006</v>
      </c>
      <c r="G85" s="51" t="n">
        <f aca="false">EXP(-1*D85*$C$5*$C$7)</f>
        <v>0.495281000353271</v>
      </c>
      <c r="H85" s="52" t="n">
        <v>0.159</v>
      </c>
      <c r="I85" s="58" t="n">
        <v>7.533</v>
      </c>
      <c r="J85" s="51" t="n">
        <v>0.9790850204</v>
      </c>
      <c r="K85" s="54" t="n">
        <f aca="false">MIN(167*POWER(B85,-2.38),11.6*POWER(B85,-1.41))</f>
        <v>0.011431971499784</v>
      </c>
      <c r="L85" s="55" t="n">
        <f aca="false">K85*$N$10*J85*(G85*($D$10-$D$8)+MAX(G85*F85*($D$9-$D$10),0)+F85*$D$11+$D$12)</f>
        <v>1.38012378507048E-007</v>
      </c>
      <c r="M85" s="55" t="n">
        <f aca="false">$K$120*0.000084*(B85/10)^(-0.45)</f>
        <v>1.42908322651646E-005</v>
      </c>
      <c r="N85" s="55" t="n">
        <f aca="false">L85+M85</f>
        <v>1.44288446436716E-005</v>
      </c>
      <c r="O85" s="56" t="n">
        <f aca="false">100*$O$5*SQRT(N85)/(C85*J85*SQRT(($O$4*B85)*$O$6))/$L$5</f>
        <v>1.33055457911995E-008</v>
      </c>
      <c r="P85" s="57" t="n">
        <f aca="false">O85*B85*B85*0.0000000016021773</f>
        <v>6.73601764552169E-014</v>
      </c>
      <c r="T85" s="61"/>
      <c r="U85" s="33"/>
    </row>
    <row r="86" customFormat="false" ht="12" hidden="false" customHeight="false" outlineLevel="0" collapsed="false">
      <c r="B86" s="50" t="n">
        <v>57.0151515</v>
      </c>
      <c r="C86" s="60" t="n">
        <v>330</v>
      </c>
      <c r="D86" s="51" t="n">
        <v>4.07</v>
      </c>
      <c r="E86" s="58" t="n">
        <v>5.722</v>
      </c>
      <c r="F86" s="51" t="n">
        <f aca="false">EXP(-$C$5*$C$6*E86)</f>
        <v>4.17970871191725E-006</v>
      </c>
      <c r="G86" s="51" t="n">
        <f aca="false">EXP(-1*D86*$C$5*$C$7)</f>
        <v>0.507806403251901</v>
      </c>
      <c r="H86" s="52" t="n">
        <v>0.152</v>
      </c>
      <c r="I86" s="58" t="n">
        <v>7.245</v>
      </c>
      <c r="J86" s="53" t="n">
        <v>0.9765685448</v>
      </c>
      <c r="K86" s="54" t="n">
        <f aca="false">MIN(167*POWER(B86,-2.38),11.6*POWER(B86,-1.41))</f>
        <v>0.0110524764551454</v>
      </c>
      <c r="L86" s="55" t="n">
        <f aca="false">K86*$N$10*J86*(G86*($D$10-$D$8)+MAX(G86*F86*($D$9-$D$10),0)+F86*$D$11+$D$12)</f>
        <v>1.37200264872278E-007</v>
      </c>
      <c r="M86" s="55" t="n">
        <f aca="false">$K$120*0.000084*(B86/10)^(-0.45)</f>
        <v>1.41999031705867E-005</v>
      </c>
      <c r="N86" s="55" t="n">
        <f aca="false">L86+M86</f>
        <v>1.4337103435459E-005</v>
      </c>
      <c r="O86" s="56" t="n">
        <f aca="false">100*$O$5*SQRT(N86)/(C86*J86*SQRT(($O$4*B86)*$O$6))/$L$5</f>
        <v>1.32033806684839E-008</v>
      </c>
      <c r="P86" s="57" t="n">
        <f aca="false">O86*B86*B86*0.0000000016021773</f>
        <v>6.87663992295669E-014</v>
      </c>
      <c r="T86" s="61"/>
      <c r="U86" s="33"/>
    </row>
    <row r="87" customFormat="false" ht="12" hidden="false" customHeight="false" outlineLevel="0" collapsed="false">
      <c r="B87" s="50" t="n">
        <v>57.8181818</v>
      </c>
      <c r="C87" s="60" t="n">
        <v>330</v>
      </c>
      <c r="D87" s="51" t="n">
        <v>3.92</v>
      </c>
      <c r="E87" s="58" t="n">
        <v>5.521</v>
      </c>
      <c r="F87" s="51" t="n">
        <f aca="false">EXP(-$C$5*$C$6*E87)</f>
        <v>6.45791207898535E-006</v>
      </c>
      <c r="G87" s="51" t="n">
        <f aca="false">EXP(-1*D87*$C$5*$C$7)</f>
        <v>0.520648567176416</v>
      </c>
      <c r="H87" s="52" t="n">
        <v>0.145</v>
      </c>
      <c r="I87" s="58" t="n">
        <v>6.976</v>
      </c>
      <c r="J87" s="53" t="n">
        <v>0.9740831368</v>
      </c>
      <c r="K87" s="54" t="n">
        <f aca="false">MIN(167*POWER(B87,-2.38),11.6*POWER(B87,-1.41))</f>
        <v>0.010690625764103</v>
      </c>
      <c r="L87" s="55" t="n">
        <f aca="false">K87*$N$10*J87*(G87*($D$10-$D$8)+MAX(G87*F87*($D$9-$D$10),0)+F87*$D$11+$D$12)</f>
        <v>1.36769314946693E-007</v>
      </c>
      <c r="M87" s="55" t="n">
        <f aca="false">$K$120*0.000084*(B87/10)^(-0.45)</f>
        <v>1.41108123484971E-005</v>
      </c>
      <c r="N87" s="55" t="n">
        <f aca="false">L87+M87</f>
        <v>1.42475816634438E-005</v>
      </c>
      <c r="O87" s="56" t="n">
        <f aca="false">100*$O$5*SQRT(N87)/(C87*J87*SQRT(($O$4*B87)*$O$6))/$L$5</f>
        <v>1.31037212412072E-008</v>
      </c>
      <c r="P87" s="57" t="n">
        <f aca="false">O87*B87*B87*0.0000000016021773</f>
        <v>7.01833478118017E-014</v>
      </c>
      <c r="T87" s="61"/>
      <c r="U87" s="33"/>
    </row>
    <row r="88" customFormat="false" ht="12" hidden="false" customHeight="false" outlineLevel="0" collapsed="false">
      <c r="B88" s="50" t="n">
        <v>58.6212121</v>
      </c>
      <c r="C88" s="60" t="n">
        <v>330</v>
      </c>
      <c r="D88" s="51" t="n">
        <v>3.79</v>
      </c>
      <c r="E88" s="58" t="n">
        <v>5.329</v>
      </c>
      <c r="F88" s="51" t="n">
        <f aca="false">EXP(-$C$5*$C$6*E88)</f>
        <v>9.78538609549942E-006</v>
      </c>
      <c r="G88" s="51" t="n">
        <f aca="false">EXP(-1*D88*$C$5*$C$7)</f>
        <v>0.532040853657291</v>
      </c>
      <c r="H88" s="52" t="n">
        <v>0.139</v>
      </c>
      <c r="I88" s="58" t="n">
        <v>6.72</v>
      </c>
      <c r="J88" s="53" t="n">
        <v>0.9715977288</v>
      </c>
      <c r="K88" s="54" t="n">
        <f aca="false">MIN(167*POWER(B88,-2.38),11.6*POWER(B88,-1.41))</f>
        <v>0.0103453708014278</v>
      </c>
      <c r="L88" s="55" t="n">
        <f aca="false">K88*$N$10*J88*(G88*($D$10-$D$8)+MAX(G88*F88*($D$9-$D$10),0)+F88*$D$11+$D$12)</f>
        <v>1.36391175024816E-007</v>
      </c>
      <c r="M88" s="55" t="n">
        <f aca="false">$K$120*0.000084*(B88/10)^(-0.45)</f>
        <v>1.40234978682728E-005</v>
      </c>
      <c r="N88" s="55" t="n">
        <f aca="false">L88+M88</f>
        <v>1.41598890432976E-005</v>
      </c>
      <c r="O88" s="56" t="n">
        <f aca="false">100*$O$5*SQRT(N88)/(C88*J88*SQRT(($O$4*B88)*$O$6))/$L$5</f>
        <v>1.30067366029962E-008</v>
      </c>
      <c r="P88" s="57" t="n">
        <f aca="false">O88*B88*B88*0.0000000016021773</f>
        <v>7.1612446008479E-014</v>
      </c>
      <c r="T88" s="61"/>
      <c r="U88" s="33"/>
    </row>
    <row r="89" customFormat="false" ht="12" hidden="false" customHeight="false" outlineLevel="0" collapsed="false">
      <c r="B89" s="50" t="n">
        <v>59.4242424</v>
      </c>
      <c r="C89" s="60" t="n">
        <v>330</v>
      </c>
      <c r="D89" s="51" t="n">
        <v>3.66</v>
      </c>
      <c r="E89" s="58" t="n">
        <v>5.146</v>
      </c>
      <c r="F89" s="51" t="n">
        <f aca="false">EXP(-$C$5*$C$6*E89)</f>
        <v>1.45413099073896E-005</v>
      </c>
      <c r="G89" s="51" t="n">
        <f aca="false">EXP(-1*D89*$C$5*$C$7)</f>
        <v>0.543682414215623</v>
      </c>
      <c r="H89" s="52" t="n">
        <v>0.133</v>
      </c>
      <c r="I89" s="58" t="n">
        <v>6.476</v>
      </c>
      <c r="J89" s="53" t="n">
        <v>0.9691123208</v>
      </c>
      <c r="K89" s="54" t="n">
        <f aca="false">MIN(167*POWER(B89,-2.38),11.6*POWER(B89,-1.41))</f>
        <v>0.0100157384651719</v>
      </c>
      <c r="L89" s="55" t="n">
        <f aca="false">K89*$N$10*J89*(G89*($D$10-$D$8)+MAX(G89*F89*($D$9-$D$10),0)+F89*$D$11+$D$12)</f>
        <v>1.36637769601193E-007</v>
      </c>
      <c r="M89" s="55" t="n">
        <f aca="false">$K$120*0.000084*(B89/10)^(-0.45)</f>
        <v>1.3937900697478E-005</v>
      </c>
      <c r="N89" s="55" t="n">
        <f aca="false">L89+M89</f>
        <v>1.40745384670792E-005</v>
      </c>
      <c r="O89" s="56" t="n">
        <f aca="false">100*$O$5*SQRT(N89)/(C89*J89*SQRT(($O$4*B89)*$O$6))/$L$5</f>
        <v>1.29125925616763E-008</v>
      </c>
      <c r="P89" s="57" t="n">
        <f aca="false">O89*B89*B89*0.0000000016021773</f>
        <v>7.30552328277434E-014</v>
      </c>
      <c r="T89" s="61"/>
      <c r="U89" s="33"/>
    </row>
    <row r="90" customFormat="false" ht="12" hidden="false" customHeight="false" outlineLevel="0" collapsed="false">
      <c r="B90" s="50" t="n">
        <v>60.2272727</v>
      </c>
      <c r="C90" s="60" t="n">
        <v>330</v>
      </c>
      <c r="D90" s="51" t="n">
        <v>3.53</v>
      </c>
      <c r="E90" s="58" t="n">
        <v>4.97</v>
      </c>
      <c r="F90" s="51" t="n">
        <f aca="false">EXP(-$C$5*$C$6*E90)</f>
        <v>2.12837859102193E-005</v>
      </c>
      <c r="G90" s="51" t="n">
        <f aca="false">EXP(-1*D90*$C$5*$C$7)</f>
        <v>0.555578703205618</v>
      </c>
      <c r="H90" s="52" t="n">
        <v>0.127</v>
      </c>
      <c r="I90" s="58" t="n">
        <v>6.241</v>
      </c>
      <c r="J90" s="53" t="n">
        <v>0.9665958452</v>
      </c>
      <c r="K90" s="54" t="n">
        <f aca="false">MIN(167*POWER(B90,-2.38),11.6*POWER(B90,-1.41))</f>
        <v>0.009700824811707</v>
      </c>
      <c r="L90" s="55" t="n">
        <f aca="false">K90*$N$10*J90*(G90*($D$10-$D$8)+MAX(G90*F90*($D$9-$D$10),0)+F90*$D$11+$D$12)</f>
        <v>1.37685241630269E-007</v>
      </c>
      <c r="M90" s="55" t="n">
        <f aca="false">$K$120*0.000084*(B90/10)^(-0.45)</f>
        <v>1.38539645292644E-005</v>
      </c>
      <c r="N90" s="55" t="n">
        <f aca="false">L90+M90</f>
        <v>1.39916497708947E-005</v>
      </c>
      <c r="O90" s="56" t="n">
        <f aca="false">100*$O$5*SQRT(N90)/(C90*J90*SQRT(($O$4*B90)*$O$6))/$L$5</f>
        <v>1.28216892943078E-008</v>
      </c>
      <c r="P90" s="57" t="n">
        <f aca="false">O90*B90*B90*0.0000000016021773</f>
        <v>7.45147446042547E-014</v>
      </c>
      <c r="T90" s="61"/>
      <c r="U90" s="33"/>
    </row>
    <row r="91" customFormat="false" ht="12" hidden="false" customHeight="false" outlineLevel="0" collapsed="false">
      <c r="B91" s="50" t="n">
        <v>61.030303</v>
      </c>
      <c r="C91" s="62" t="n">
        <v>320.8</v>
      </c>
      <c r="D91" s="51" t="n">
        <v>3.42</v>
      </c>
      <c r="E91" s="58" t="n">
        <v>4.804</v>
      </c>
      <c r="F91" s="51" t="n">
        <f aca="false">EXP(-$C$5*$C$6*E91)</f>
        <v>3.04855425952867E-005</v>
      </c>
      <c r="G91" s="51" t="n">
        <f aca="false">EXP(-1*D91*$C$5*$C$7)</f>
        <v>0.565847880086661</v>
      </c>
      <c r="H91" s="52" t="n">
        <v>0.122</v>
      </c>
      <c r="I91" s="58" t="n">
        <v>6.021</v>
      </c>
      <c r="J91" s="53" t="n">
        <v>0.9641104372</v>
      </c>
      <c r="K91" s="54" t="n">
        <f aca="false">MIN(167*POWER(B91,-2.38),11.6*POWER(B91,-1.41))</f>
        <v>0.00939978930316652</v>
      </c>
      <c r="L91" s="55" t="n">
        <f aca="false">K91*$N$10*J91*(G91*($D$10-$D$8)+MAX(G91*F91*($D$9-$D$10),0)+F91*$D$11+$D$12)</f>
        <v>1.39238384361112E-007</v>
      </c>
      <c r="M91" s="55" t="n">
        <f aca="false">$K$120*0.000084*(B91/10)^(-0.45)</f>
        <v>1.37716356221941E-005</v>
      </c>
      <c r="N91" s="55" t="n">
        <f aca="false">L91+M91</f>
        <v>1.39108740065552E-005</v>
      </c>
      <c r="O91" s="56" t="n">
        <f aca="false">100*$O$5*SQRT(N91)/(C91*J91*SQRT(($O$4*B91)*$O$6))/$L$5</f>
        <v>1.30981376349041E-008</v>
      </c>
      <c r="P91" s="57" t="n">
        <f aca="false">O91*B91*B91*0.0000000016021773</f>
        <v>7.81647919348402E-014</v>
      </c>
      <c r="T91" s="61"/>
      <c r="U91" s="33"/>
    </row>
    <row r="92" customFormat="false" ht="12" hidden="false" customHeight="false" outlineLevel="0" collapsed="false">
      <c r="B92" s="50" t="n">
        <v>61.8333333</v>
      </c>
      <c r="C92" s="62" t="n">
        <v>311.6</v>
      </c>
      <c r="D92" s="51" t="n">
        <v>3.3</v>
      </c>
      <c r="E92" s="58" t="n">
        <v>4.646</v>
      </c>
      <c r="F92" s="51" t="n">
        <f aca="false">EXP(-$C$5*$C$6*E92)</f>
        <v>4.29159502685292E-005</v>
      </c>
      <c r="G92" s="51" t="n">
        <f aca="false">EXP(-1*D92*$C$5*$C$7)</f>
        <v>0.577267220055855</v>
      </c>
      <c r="H92" s="52" t="n">
        <v>0.117</v>
      </c>
      <c r="I92" s="58" t="n">
        <v>5.811</v>
      </c>
      <c r="J92" s="53" t="n">
        <v>0.9616250292</v>
      </c>
      <c r="K92" s="54" t="n">
        <f aca="false">MIN(167*POWER(B92,-2.38),11.6*POWER(B92,-1.41))</f>
        <v>0.00911184960124911</v>
      </c>
      <c r="L92" s="55" t="n">
        <f aca="false">K92*$N$10*J92*(G92*($D$10-$D$8)+MAX(G92*F92*($D$9-$D$10),0)+F92*$D$11+$D$12)</f>
        <v>1.42152899732836E-007</v>
      </c>
      <c r="M92" s="55" t="n">
        <f aca="false">$K$120*0.000084*(B92/10)^(-0.45)</f>
        <v>1.36908626514408E-005</v>
      </c>
      <c r="N92" s="55" t="n">
        <f aca="false">L92+M92</f>
        <v>1.38330155511736E-005</v>
      </c>
      <c r="O92" s="56" t="n">
        <f aca="false">100*$O$5*SQRT(N92)/(C92*J92*SQRT(($O$4*B92)*$O$6))/$L$5</f>
        <v>1.33939953452311E-008</v>
      </c>
      <c r="P92" s="57" t="n">
        <f aca="false">O92*B92*B92*0.0000000016021773</f>
        <v>8.20476291013135E-014</v>
      </c>
      <c r="T92" s="61"/>
      <c r="U92" s="33"/>
    </row>
    <row r="93" customFormat="false" ht="12" hidden="false" customHeight="false" outlineLevel="0" collapsed="false">
      <c r="B93" s="50" t="n">
        <v>62.6363636</v>
      </c>
      <c r="C93" s="62" t="n">
        <v>302.4</v>
      </c>
      <c r="D93" s="51" t="n">
        <v>3.2</v>
      </c>
      <c r="E93" s="58" t="n">
        <v>4.493</v>
      </c>
      <c r="F93" s="51" t="n">
        <f aca="false">EXP(-$C$5*$C$6*E93)</f>
        <v>5.97645130746743E-005</v>
      </c>
      <c r="G93" s="51" t="n">
        <f aca="false">EXP(-1*D93*$C$5*$C$7)</f>
        <v>0.586959180942734</v>
      </c>
      <c r="H93" s="52" t="n">
        <v>0.112</v>
      </c>
      <c r="I93" s="58" t="n">
        <v>5.608</v>
      </c>
      <c r="J93" s="51" t="n">
        <v>0.9591085536</v>
      </c>
      <c r="K93" s="54" t="n">
        <f aca="false">MIN(167*POWER(B93,-2.38),11.6*POWER(B93,-1.41))</f>
        <v>0.00883627684920903</v>
      </c>
      <c r="L93" s="55" t="n">
        <f aca="false">K93*$N$10*J93*(G93*($D$10-$D$8)+MAX(G93*F93*($D$9-$D$10),0)+F93*$D$11+$D$12)</f>
        <v>1.46153177324264E-007</v>
      </c>
      <c r="M93" s="55" t="n">
        <f aca="false">$K$120*0.000084*(B93/10)^(-0.45)</f>
        <v>1.36115965704254E-005</v>
      </c>
      <c r="N93" s="55" t="n">
        <f aca="false">L93+M93</f>
        <v>1.37577497477497E-005</v>
      </c>
      <c r="O93" s="56" t="n">
        <f aca="false">100*$O$5*SQRT(N93)/(C93*J93*SQRT(($O$4*B93)*$O$6))/$L$5</f>
        <v>1.37112525945791E-008</v>
      </c>
      <c r="P93" s="57" t="n">
        <f aca="false">O93*B93*B93*0.0000000016021773</f>
        <v>8.61868045030088E-014</v>
      </c>
      <c r="T93" s="61"/>
      <c r="U93" s="33"/>
    </row>
    <row r="94" customFormat="false" ht="12" hidden="false" customHeight="false" outlineLevel="0" collapsed="false">
      <c r="B94" s="50" t="n">
        <v>63.4393939</v>
      </c>
      <c r="C94" s="62" t="n">
        <v>293.2</v>
      </c>
      <c r="D94" s="51" t="n">
        <v>3.09</v>
      </c>
      <c r="E94" s="58" t="n">
        <v>4.349</v>
      </c>
      <c r="F94" s="51" t="n">
        <f aca="false">EXP(-$C$5*$C$6*E94)</f>
        <v>8.16220999452811E-005</v>
      </c>
      <c r="G94" s="51" t="n">
        <f aca="false">EXP(-1*D94*$C$5*$C$7)</f>
        <v>0.597808386674117</v>
      </c>
      <c r="H94" s="52" t="n">
        <v>0.108</v>
      </c>
      <c r="I94" s="58" t="n">
        <v>5.417</v>
      </c>
      <c r="J94" s="53" t="n">
        <v>0.9566231456</v>
      </c>
      <c r="K94" s="54" t="n">
        <f aca="false">MIN(167*POWER(B94,-2.38),11.6*POWER(B94,-1.41))</f>
        <v>0.00857239139070656</v>
      </c>
      <c r="L94" s="55" t="n">
        <f aca="false">K94*$N$10*J94*(G94*($D$10-$D$8)+MAX(G94*F94*($D$9-$D$10),0)+F94*$D$11+$D$12)</f>
        <v>1.51944124414373E-007</v>
      </c>
      <c r="M94" s="55" t="n">
        <f aca="false">$K$120*0.000084*(B94/10)^(-0.45)</f>
        <v>1.3533790482031E-005</v>
      </c>
      <c r="N94" s="55" t="n">
        <f aca="false">L94+M94</f>
        <v>1.36857346064454E-005</v>
      </c>
      <c r="O94" s="56" t="n">
        <f aca="false">100*$O$5*SQRT(N94)/(C94*J94*SQRT(($O$4*B94)*$O$6))/$L$5</f>
        <v>1.40512817516506E-008</v>
      </c>
      <c r="P94" s="57" t="n">
        <f aca="false">O94*B94*B94*0.0000000016021773</f>
        <v>9.06034148586436E-014</v>
      </c>
      <c r="T94" s="61"/>
      <c r="U94" s="33"/>
    </row>
    <row r="95" customFormat="false" ht="12" hidden="false" customHeight="false" outlineLevel="0" collapsed="false">
      <c r="B95" s="50" t="n">
        <v>64.2424242</v>
      </c>
      <c r="C95" s="62" t="n">
        <v>284</v>
      </c>
      <c r="D95" s="51" t="n">
        <v>3</v>
      </c>
      <c r="E95" s="58" t="n">
        <v>4.212</v>
      </c>
      <c r="F95" s="51" t="n">
        <f aca="false">EXP(-$C$5*$C$6*E95)</f>
        <v>0.000109797368003541</v>
      </c>
      <c r="G95" s="51" t="n">
        <f aca="false">EXP(-1*D95*$C$5*$C$7)</f>
        <v>0.60683400087146</v>
      </c>
      <c r="H95" s="52" t="n">
        <v>0.104</v>
      </c>
      <c r="I95" s="58" t="n">
        <v>5.234</v>
      </c>
      <c r="J95" s="53" t="n">
        <v>0.9541377376</v>
      </c>
      <c r="K95" s="54" t="n">
        <f aca="false">MIN(167*POWER(B95,-2.38),11.6*POWER(B95,-1.41))</f>
        <v>0.00831955888015654</v>
      </c>
      <c r="L95" s="55" t="n">
        <f aca="false">K95*$N$10*J95*(G95*($D$10-$D$8)+MAX(G95*F95*($D$9-$D$10),0)+F95*$D$11+$D$12)</f>
        <v>1.59239770460421E-007</v>
      </c>
      <c r="M95" s="55" t="n">
        <f aca="false">$K$120*0.000084*(B95/10)^(-0.45)</f>
        <v>1.34573995186211E-005</v>
      </c>
      <c r="N95" s="55" t="n">
        <f aca="false">L95+M95</f>
        <v>1.36166392890815E-005</v>
      </c>
      <c r="O95" s="56" t="n">
        <f aca="false">100*$O$5*SQRT(N95)/(C95*J95*SQRT(($O$4*B95)*$O$6))/$L$5</f>
        <v>1.44165333533461E-008</v>
      </c>
      <c r="P95" s="57" t="n">
        <f aca="false">O95*B95*B95*0.0000000016021773</f>
        <v>9.53268531867693E-014</v>
      </c>
      <c r="T95" s="61"/>
      <c r="U95" s="33"/>
    </row>
    <row r="96" customFormat="false" ht="12" hidden="false" customHeight="false" outlineLevel="0" collapsed="false">
      <c r="B96" s="50" t="n">
        <v>65.0454545</v>
      </c>
      <c r="C96" s="62" t="n">
        <v>274.8</v>
      </c>
      <c r="D96" s="51" t="n">
        <v>2.9</v>
      </c>
      <c r="E96" s="58" t="n">
        <v>4.079</v>
      </c>
      <c r="F96" s="51" t="n">
        <f aca="false">EXP(-$C$5*$C$6*E96)</f>
        <v>0.000146425249799569</v>
      </c>
      <c r="G96" s="51" t="n">
        <f aca="false">EXP(-1*D96*$C$5*$C$7)</f>
        <v>0.617022369787861</v>
      </c>
      <c r="H96" s="52" t="n">
        <v>0.0995</v>
      </c>
      <c r="I96" s="58" t="n">
        <v>5.058</v>
      </c>
      <c r="J96" s="53" t="n">
        <v>0.951621262</v>
      </c>
      <c r="K96" s="54" t="n">
        <f aca="false">MIN(167*POWER(B96,-2.38),11.6*POWER(B96,-1.41))</f>
        <v>0.00807718674442081</v>
      </c>
      <c r="L96" s="55" t="n">
        <f aca="false">K96*$N$10*J96*(G96*($D$10-$D$8)+MAX(G96*F96*($D$9-$D$10),0)+F96*$D$11+$D$12)</f>
        <v>1.69208155674187E-007</v>
      </c>
      <c r="M96" s="55" t="n">
        <f aca="false">$K$120*0.000084*(B96/10)^(-0.45)</f>
        <v>1.33823807301601E-005</v>
      </c>
      <c r="N96" s="55" t="n">
        <f aca="false">L96+M96</f>
        <v>1.35515888858343E-005</v>
      </c>
      <c r="O96" s="56" t="n">
        <f aca="false">100*$O$5*SQRT(N96)/(C96*J96*SQRT(($O$4*B96)*$O$6))/$L$5</f>
        <v>1.48105782705994E-008</v>
      </c>
      <c r="P96" s="57" t="n">
        <f aca="false">O96*B96*B96*0.0000000016021773</f>
        <v>1.00396019711989E-013</v>
      </c>
      <c r="T96" s="61"/>
      <c r="U96" s="33"/>
    </row>
    <row r="97" customFormat="false" ht="12" hidden="false" customHeight="false" outlineLevel="0" collapsed="false">
      <c r="B97" s="50" t="n">
        <v>65.8484848</v>
      </c>
      <c r="C97" s="62" t="n">
        <v>265.6</v>
      </c>
      <c r="D97" s="51" t="n">
        <v>2.81</v>
      </c>
      <c r="E97" s="58" t="n">
        <v>3.954</v>
      </c>
      <c r="F97" s="51" t="n">
        <f aca="false">EXP(-$C$5*$C$6*E97)</f>
        <v>0.000191919796456058</v>
      </c>
      <c r="G97" s="51" t="n">
        <f aca="false">EXP(-1*D97*$C$5*$C$7)</f>
        <v>0.626338073590242</v>
      </c>
      <c r="H97" s="52" t="n">
        <v>0.0956</v>
      </c>
      <c r="I97" s="58" t="n">
        <v>4.892</v>
      </c>
      <c r="J97" s="53" t="n">
        <v>0.949135854</v>
      </c>
      <c r="K97" s="54" t="n">
        <f aca="false">MIN(167*POWER(B97,-2.38),11.6*POWER(B97,-1.41))</f>
        <v>0.00784472096024442</v>
      </c>
      <c r="L97" s="55" t="n">
        <f aca="false">K97*$N$10*J97*(G97*($D$10-$D$8)+MAX(G97*F97*($D$9-$D$10),0)+F97*$D$11+$D$12)</f>
        <v>1.81362713080496E-007</v>
      </c>
      <c r="M97" s="55" t="n">
        <f aca="false">$K$120*0.000084*(B97/10)^(-0.45)</f>
        <v>1.33086929797936E-005</v>
      </c>
      <c r="N97" s="55" t="n">
        <f aca="false">L97+M97</f>
        <v>1.34900556928741E-005</v>
      </c>
      <c r="O97" s="56" t="n">
        <f aca="false">100*$O$5*SQRT(N97)/(C97*J97*SQRT(($O$4*B97)*$O$6))/$L$5</f>
        <v>1.52350462302977E-008</v>
      </c>
      <c r="P97" s="57" t="n">
        <f aca="false">O97*B97*B97*0.0000000016021773</f>
        <v>1.05839047540676E-013</v>
      </c>
      <c r="T97" s="61"/>
      <c r="U97" s="33"/>
    </row>
    <row r="98" customFormat="false" ht="12" hidden="false" customHeight="false" outlineLevel="0" collapsed="false">
      <c r="B98" s="50" t="n">
        <v>66.6515152</v>
      </c>
      <c r="C98" s="62" t="n">
        <v>256.4</v>
      </c>
      <c r="D98" s="51" t="n">
        <v>2.73</v>
      </c>
      <c r="E98" s="58" t="n">
        <v>3.834</v>
      </c>
      <c r="F98" s="51" t="n">
        <f aca="false">EXP(-$C$5*$C$6*E98)</f>
        <v>0.0002488418509578</v>
      </c>
      <c r="G98" s="51" t="n">
        <f aca="false">EXP(-1*D98*$C$5*$C$7)</f>
        <v>0.634736707456902</v>
      </c>
      <c r="H98" s="52" t="n">
        <v>0.092</v>
      </c>
      <c r="I98" s="58" t="n">
        <v>4.733</v>
      </c>
      <c r="J98" s="53" t="n">
        <v>0.946650446</v>
      </c>
      <c r="K98" s="54" t="n">
        <f aca="false">MIN(167*POWER(B98,-2.38),11.6*POWER(B98,-1.41))</f>
        <v>0.00762164308860949</v>
      </c>
      <c r="L98" s="55" t="n">
        <f aca="false">K98*$N$10*J98*(G98*($D$10-$D$8)+MAX(G98*F98*($D$9-$D$10),0)+F98*$D$11+$D$12)</f>
        <v>1.96326381973201E-007</v>
      </c>
      <c r="M98" s="55" t="n">
        <f aca="false">$K$120*0.000084*(B98/10)^(-0.45)</f>
        <v>1.32362968373723E-005</v>
      </c>
      <c r="N98" s="55" t="n">
        <f aca="false">L98+M98</f>
        <v>1.34326232193455E-005</v>
      </c>
      <c r="O98" s="56" t="n">
        <f aca="false">100*$O$5*SQRT(N98)/(C98*J98*SQRT(($O$4*B98)*$O$6))/$L$5</f>
        <v>1.56940122297778E-008</v>
      </c>
      <c r="P98" s="57" t="n">
        <f aca="false">O98*B98*B98*0.0000000016021773</f>
        <v>1.11702942740774E-013</v>
      </c>
      <c r="T98" s="61"/>
      <c r="U98" s="33"/>
    </row>
    <row r="99" customFormat="false" ht="12" hidden="false" customHeight="false" outlineLevel="0" collapsed="false">
      <c r="B99" s="50" t="n">
        <v>67.4545455</v>
      </c>
      <c r="C99" s="62" t="n">
        <v>247.2</v>
      </c>
      <c r="D99" s="51" t="n">
        <v>11.8</v>
      </c>
      <c r="E99" s="58" t="n">
        <v>3.719</v>
      </c>
      <c r="F99" s="51" t="n">
        <f aca="false">EXP(-$C$5*$C$6*E99)</f>
        <v>0.000319173568904811</v>
      </c>
      <c r="G99" s="51" t="n">
        <f aca="false">EXP(-1*D99*$C$5*$C$7)</f>
        <v>0.140197939689446</v>
      </c>
      <c r="H99" s="52" t="n">
        <v>0.0885</v>
      </c>
      <c r="I99" s="58" t="n">
        <v>4.581</v>
      </c>
      <c r="J99" s="53" t="n">
        <v>0.944165038</v>
      </c>
      <c r="K99" s="54" t="n">
        <f aca="false">MIN(167*POWER(B99,-2.38),11.6*POWER(B99,-1.41))</f>
        <v>0.00740746770226886</v>
      </c>
      <c r="L99" s="55" t="n">
        <f aca="false">K99*$N$10*J99*(G99*($D$10-$D$8)+MAX(G99*F99*($D$9-$D$10),0)+F99*$D$11+$D$12)</f>
        <v>1.27718817942107E-007</v>
      </c>
      <c r="M99" s="55" t="n">
        <f aca="false">$K$120*0.000084*(B99/10)^(-0.45)</f>
        <v>1.31651545241623E-005</v>
      </c>
      <c r="N99" s="55" t="n">
        <f aca="false">L99+M99</f>
        <v>1.32928733421044E-005</v>
      </c>
      <c r="O99" s="56" t="n">
        <f aca="false">100*$O$5*SQRT(N99)/(C99*J99*SQRT(($O$4*B99)*$O$6))/$L$5</f>
        <v>1.61388910685187E-008</v>
      </c>
      <c r="P99" s="57" t="n">
        <f aca="false">O99*B99*B99*0.0000000016021773</f>
        <v>1.17654002292841E-013</v>
      </c>
      <c r="T99" s="61"/>
      <c r="U99" s="33"/>
    </row>
    <row r="100" customFormat="false" ht="12" hidden="false" customHeight="false" outlineLevel="0" collapsed="false">
      <c r="B100" s="50" t="n">
        <v>68.2575758</v>
      </c>
      <c r="C100" s="62" t="n">
        <v>238</v>
      </c>
      <c r="D100" s="51" t="n">
        <v>11.4</v>
      </c>
      <c r="E100" s="58" t="n">
        <v>3.608</v>
      </c>
      <c r="F100" s="51" t="n">
        <f aca="false">EXP(-$C$5*$C$6*E100)</f>
        <v>0.000405854433836884</v>
      </c>
      <c r="G100" s="51" t="n">
        <f aca="false">EXP(-1*D100*$C$5*$C$7)</f>
        <v>0.149853069741579</v>
      </c>
      <c r="H100" s="52" t="n">
        <v>0.0852</v>
      </c>
      <c r="I100" s="58" t="n">
        <v>4.434</v>
      </c>
      <c r="J100" s="53" t="n">
        <v>0.9416485624</v>
      </c>
      <c r="K100" s="54" t="n">
        <f aca="false">MIN(167*POWER(B100,-2.38),11.6*POWER(B100,-1.41))</f>
        <v>0.00720173976774062</v>
      </c>
      <c r="L100" s="55" t="n">
        <f aca="false">K100*$N$10*J100*(G100*($D$10-$D$8)+MAX(G100*F100*($D$9-$D$10),0)+F100*$D$11+$D$12)</f>
        <v>1.52727251291437E-007</v>
      </c>
      <c r="M100" s="55" t="n">
        <f aca="false">$K$120*0.000084*(B100/10)^(-0.45)</f>
        <v>1.30952297734359E-005</v>
      </c>
      <c r="N100" s="55" t="n">
        <f aca="false">L100+M100</f>
        <v>1.32479570247273E-005</v>
      </c>
      <c r="O100" s="56" t="n">
        <f aca="false">100*$O$5*SQRT(N100)/(C100*J100*SQRT(($O$4*B100)*$O$6))/$L$5</f>
        <v>1.66801314465798E-008</v>
      </c>
      <c r="P100" s="57" t="n">
        <f aca="false">O100*B100*B100*0.0000000016021773</f>
        <v>1.24512158822665E-013</v>
      </c>
      <c r="T100" s="61"/>
      <c r="U100" s="33"/>
    </row>
    <row r="101" customFormat="false" ht="12" hidden="false" customHeight="false" outlineLevel="0" collapsed="false">
      <c r="B101" s="50" t="n">
        <v>69.0606061</v>
      </c>
      <c r="C101" s="62" t="n">
        <v>228.8</v>
      </c>
      <c r="D101" s="51" t="n">
        <v>11.1</v>
      </c>
      <c r="E101" s="58" t="n">
        <v>3.502</v>
      </c>
      <c r="F101" s="51" t="n">
        <f aca="false">EXP(-$C$5*$C$6*E101)</f>
        <v>0.000510520890270969</v>
      </c>
      <c r="G101" s="51" t="n">
        <f aca="false">EXP(-1*D101*$C$5*$C$7)</f>
        <v>0.157528324309413</v>
      </c>
      <c r="H101" s="52" t="n">
        <v>0.0821</v>
      </c>
      <c r="I101" s="58" t="n">
        <v>4.295</v>
      </c>
      <c r="J101" s="53" t="n">
        <v>0.9391631544</v>
      </c>
      <c r="K101" s="54" t="n">
        <f aca="false">MIN(167*POWER(B101,-2.38),11.6*POWER(B101,-1.41))</f>
        <v>0.00700403251476687</v>
      </c>
      <c r="L101" s="55" t="n">
        <f aca="false">K101*$N$10*J101*(G101*($D$10-$D$8)+MAX(G101*F101*($D$9-$D$10),0)+F101*$D$11+$D$12)</f>
        <v>1.81329960738038E-007</v>
      </c>
      <c r="M101" s="55" t="n">
        <f aca="false">$K$120*0.000084*(B101/10)^(-0.45)</f>
        <v>1.30264877867889E-005</v>
      </c>
      <c r="N101" s="55" t="n">
        <f aca="false">L101+M101</f>
        <v>1.32078177475269E-005</v>
      </c>
      <c r="O101" s="56" t="n">
        <f aca="false">100*$O$5*SQRT(N101)/(C101*J101*SQRT(($O$4*B101)*$O$6))/$L$5</f>
        <v>1.72690927979793E-008</v>
      </c>
      <c r="P101" s="57" t="n">
        <f aca="false">O101*B101*B101*0.0000000016021773</f>
        <v>1.319595629886E-013</v>
      </c>
      <c r="T101" s="61"/>
      <c r="U101" s="33"/>
    </row>
    <row r="102" customFormat="false" ht="12" hidden="false" customHeight="false" outlineLevel="0" collapsed="false">
      <c r="B102" s="50" t="n">
        <v>69.8636364</v>
      </c>
      <c r="C102" s="62" t="n">
        <v>219.6</v>
      </c>
      <c r="D102" s="51" t="n">
        <v>10.8</v>
      </c>
      <c r="E102" s="58" t="n">
        <v>3.402</v>
      </c>
      <c r="F102" s="51" t="n">
        <f aca="false">EXP(-$C$5*$C$6*E102)</f>
        <v>0.000633893879518494</v>
      </c>
      <c r="G102" s="51" t="n">
        <f aca="false">EXP(-1*D102*$C$5*$C$7)</f>
        <v>0.165596694165327</v>
      </c>
      <c r="H102" s="52" t="n">
        <v>0.0791</v>
      </c>
      <c r="I102" s="58" t="n">
        <v>4.162</v>
      </c>
      <c r="J102" s="51" t="n">
        <v>0.9366777464</v>
      </c>
      <c r="K102" s="54" t="n">
        <f aca="false">MIN(167*POWER(B102,-2.38),11.6*POWER(B102,-1.41))</f>
        <v>0.00681394535393068</v>
      </c>
      <c r="L102" s="55" t="n">
        <f aca="false">K102*$N$10*J102*(G102*($D$10-$D$8)+MAX(G102*F102*($D$9-$D$10),0)+F102*$D$11+$D$12)</f>
        <v>2.13746110017664E-007</v>
      </c>
      <c r="M102" s="55" t="n">
        <f aca="false">$K$120*0.000084*(B102/10)^(-0.45)</f>
        <v>1.29588951501678E-005</v>
      </c>
      <c r="N102" s="55" t="n">
        <f aca="false">L102+M102</f>
        <v>1.31726412601855E-005</v>
      </c>
      <c r="O102" s="56" t="n">
        <f aca="false">100*$O$5*SQRT(N102)/(C102*J102*SQRT(($O$4*B102)*$O$6))/$L$5</f>
        <v>1.79124317589313E-008</v>
      </c>
      <c r="P102" s="57" t="n">
        <f aca="false">O102*B102*B102*0.0000000016021773</f>
        <v>1.40077214477863E-013</v>
      </c>
      <c r="T102" s="61"/>
      <c r="U102" s="33"/>
    </row>
    <row r="103" customFormat="false" ht="12" hidden="false" customHeight="false" outlineLevel="0" collapsed="false">
      <c r="B103" s="50" t="n">
        <v>70.6666667</v>
      </c>
      <c r="C103" s="62" t="n">
        <v>210.4</v>
      </c>
      <c r="D103" s="51" t="n">
        <v>10.4</v>
      </c>
      <c r="E103" s="58" t="n">
        <v>3.304</v>
      </c>
      <c r="F103" s="51" t="n">
        <f aca="false">EXP(-$C$5*$C$6*E103)</f>
        <v>0.000783681398243474</v>
      </c>
      <c r="G103" s="51" t="n">
        <f aca="false">EXP(-1*D103*$C$5*$C$7)</f>
        <v>0.177000981716993</v>
      </c>
      <c r="H103" s="52" t="n">
        <v>0.0763</v>
      </c>
      <c r="I103" s="58" t="n">
        <v>4.033</v>
      </c>
      <c r="J103" s="53" t="n">
        <v>0.9341612708</v>
      </c>
      <c r="K103" s="54" t="n">
        <f aca="false">MIN(167*POWER(B103,-2.38),11.6*POWER(B103,-1.41))</f>
        <v>0.00663110199352313</v>
      </c>
      <c r="L103" s="55" t="n">
        <f aca="false">K103*$N$10*J103*(G103*($D$10-$D$8)+MAX(G103*F103*($D$9-$D$10),0)+F103*$D$11+$D$12)</f>
        <v>2.52248155271805E-007</v>
      </c>
      <c r="M103" s="55" t="n">
        <f aca="false">$K$120*0.000084*(B103/10)^(-0.45)</f>
        <v>1.2892419763644E-005</v>
      </c>
      <c r="N103" s="55" t="n">
        <f aca="false">L103+M103</f>
        <v>1.31446679189158E-005</v>
      </c>
      <c r="O103" s="56" t="n">
        <f aca="false">100*$O$5*SQRT(N103)/(C103*J103*SQRT(($O$4*B103)*$O$6))/$L$5</f>
        <v>1.86194205333956E-008</v>
      </c>
      <c r="P103" s="57" t="n">
        <f aca="false">O103*B103*B103*0.0000000016021773</f>
        <v>1.4897244580452E-013</v>
      </c>
      <c r="T103" s="61"/>
      <c r="U103" s="33"/>
    </row>
    <row r="104" customFormat="false" ht="12" hidden="false" customHeight="false" outlineLevel="0" collapsed="false">
      <c r="B104" s="50" t="n">
        <v>71.469697</v>
      </c>
      <c r="C104" s="62" t="n">
        <v>201.2</v>
      </c>
      <c r="D104" s="51" t="n">
        <v>10.1</v>
      </c>
      <c r="E104" s="58" t="n">
        <v>3.211</v>
      </c>
      <c r="F104" s="51" t="n">
        <f aca="false">EXP(-$C$5*$C$6*E104)</f>
        <v>0.000958434340665222</v>
      </c>
      <c r="G104" s="51" t="n">
        <f aca="false">EXP(-1*D104*$C$5*$C$7)</f>
        <v>0.186066712541042</v>
      </c>
      <c r="H104" s="52" t="n">
        <v>0.0735</v>
      </c>
      <c r="I104" s="58" t="n">
        <v>3.911</v>
      </c>
      <c r="J104" s="53" t="n">
        <v>0.9316758628</v>
      </c>
      <c r="K104" s="54" t="n">
        <f aca="false">MIN(167*POWER(B104,-2.38),11.6*POWER(B104,-1.41))</f>
        <v>0.00645514871134149</v>
      </c>
      <c r="L104" s="55" t="n">
        <f aca="false">K104*$N$10*J104*(G104*($D$10-$D$8)+MAX(G104*F104*($D$9-$D$10),0)+F104*$D$11+$D$12)</f>
        <v>2.95014040336767E-007</v>
      </c>
      <c r="M104" s="55" t="n">
        <f aca="false">$K$120*0.000084*(B104/10)^(-0.45)</f>
        <v>1.28270307755018E-005</v>
      </c>
      <c r="N104" s="55" t="n">
        <f aca="false">L104+M104</f>
        <v>1.31220448158386E-005</v>
      </c>
      <c r="O104" s="56" t="n">
        <f aca="false">100*$O$5*SQRT(N104)/(C104*J104*SQRT(($O$4*B104)*$O$6))/$L$5</f>
        <v>1.93960464492665E-008</v>
      </c>
      <c r="P104" s="57" t="n">
        <f aca="false">O104*B104*B104*0.0000000016021773</f>
        <v>1.58733163441537E-013</v>
      </c>
      <c r="R104" s="51"/>
      <c r="S104" s="63"/>
      <c r="T104" s="64"/>
      <c r="U104" s="55"/>
      <c r="V104" s="51"/>
      <c r="W104" s="55"/>
      <c r="X104" s="18"/>
      <c r="Y104" s="18"/>
    </row>
    <row r="105" customFormat="false" ht="12" hidden="false" customHeight="false" outlineLevel="0" collapsed="false">
      <c r="B105" s="50" t="n">
        <v>72.2727273</v>
      </c>
      <c r="C105" s="62" t="n">
        <v>192</v>
      </c>
      <c r="D105" s="51" t="n">
        <v>9.85</v>
      </c>
      <c r="E105" s="58" t="n">
        <v>3.122</v>
      </c>
      <c r="F105" s="51" t="n">
        <f aca="false">EXP(-$C$5*$C$6*E105)</f>
        <v>0.00116205068818743</v>
      </c>
      <c r="G105" s="51" t="n">
        <f aca="false">EXP(-1*D105*$C$5*$C$7)</f>
        <v>0.193975192850453</v>
      </c>
      <c r="H105" s="52" t="n">
        <v>0.071</v>
      </c>
      <c r="I105" s="58" t="n">
        <v>3.793</v>
      </c>
      <c r="J105" s="53" t="n">
        <v>0.9291904548</v>
      </c>
      <c r="K105" s="54" t="n">
        <f aca="false">MIN(167*POWER(B105,-2.38),11.6*POWER(B105,-1.41))</f>
        <v>0.00628575276710469</v>
      </c>
      <c r="L105" s="55" t="n">
        <f aca="false">K105*$N$10*J105*(G105*($D$10-$D$8)+MAX(G105*F105*($D$9-$D$10),0)+F105*$D$11+$D$12)</f>
        <v>3.42830173218755E-007</v>
      </c>
      <c r="M105" s="55" t="n">
        <f aca="false">$K$120*0.000084*(B105/10)^(-0.45)</f>
        <v>1.27626985203297E-005</v>
      </c>
      <c r="N105" s="55" t="n">
        <f aca="false">L105+M105</f>
        <v>1.31055286935485E-005</v>
      </c>
      <c r="O105" s="56" t="n">
        <f aca="false">100*$O$5*SQRT(N105)/(C105*J105*SQRT(($O$4*B105)*$O$6))/$L$5</f>
        <v>2.02535114893682E-008</v>
      </c>
      <c r="P105" s="57" t="n">
        <f aca="false">O105*B105*B105*0.0000000016021773</f>
        <v>1.69496132180446E-013</v>
      </c>
      <c r="R105" s="51"/>
      <c r="S105" s="63"/>
      <c r="T105" s="64"/>
      <c r="U105" s="55"/>
      <c r="V105" s="51"/>
      <c r="W105" s="55"/>
      <c r="X105" s="18"/>
      <c r="Y105" s="18"/>
    </row>
    <row r="106" customFormat="false" ht="12" hidden="false" customHeight="false" outlineLevel="0" collapsed="false">
      <c r="B106" s="50" t="n">
        <v>73.0757576</v>
      </c>
      <c r="C106" s="62" t="n">
        <v>182.8</v>
      </c>
      <c r="D106" s="51" t="n">
        <v>9.58</v>
      </c>
      <c r="E106" s="58" t="n">
        <v>3.035</v>
      </c>
      <c r="F106" s="51" t="n">
        <f aca="false">EXP(-$C$5*$C$6*E106)</f>
        <v>0.00140283863322068</v>
      </c>
      <c r="G106" s="51" t="n">
        <f aca="false">EXP(-1*D106*$C$5*$C$7)</f>
        <v>0.202894325402663</v>
      </c>
      <c r="H106" s="52" t="n">
        <v>0.0685</v>
      </c>
      <c r="I106" s="58" t="n">
        <v>3.68</v>
      </c>
      <c r="J106" s="53" t="n">
        <v>0.9266739792</v>
      </c>
      <c r="K106" s="54" t="n">
        <f aca="false">MIN(167*POWER(B106,-2.38),11.6*POWER(B106,-1.41))</f>
        <v>0.00612260094263593</v>
      </c>
      <c r="L106" s="55" t="n">
        <f aca="false">K106*$N$10*J106*(G106*($D$10-$D$8)+MAX(G106*F106*($D$9-$D$10),0)+F106*$D$11+$D$12)</f>
        <v>3.97672413828501E-007</v>
      </c>
      <c r="M106" s="55" t="n">
        <f aca="false">$K$120*0.000084*(B106/10)^(-0.45)</f>
        <v>1.26993944608317E-005</v>
      </c>
      <c r="N106" s="55" t="n">
        <f aca="false">L106+M106</f>
        <v>1.30970668746602E-005</v>
      </c>
      <c r="O106" s="56" t="n">
        <f aca="false">100*$O$5*SQRT(N106)/(C106*J106*SQRT(($O$4*B106)*$O$6))/$L$5</f>
        <v>2.12062290424243E-008</v>
      </c>
      <c r="P106" s="57" t="n">
        <f aca="false">O106*B106*B106*0.0000000016021773</f>
        <v>1.81434835417103E-013</v>
      </c>
      <c r="R106" s="51"/>
      <c r="S106" s="63"/>
      <c r="T106" s="64"/>
      <c r="U106" s="55"/>
      <c r="V106" s="51"/>
      <c r="W106" s="55"/>
      <c r="X106" s="18"/>
      <c r="Y106" s="18"/>
    </row>
    <row r="107" customFormat="false" ht="12" hidden="false" customHeight="false" outlineLevel="0" collapsed="false">
      <c r="B107" s="50" t="n">
        <v>73.8787879</v>
      </c>
      <c r="C107" s="62" t="n">
        <v>173.6</v>
      </c>
      <c r="D107" s="51" t="n">
        <v>9.31</v>
      </c>
      <c r="E107" s="58" t="n">
        <v>2.953</v>
      </c>
      <c r="F107" s="51" t="n">
        <f aca="false">EXP(-$C$5*$C$6*E107)</f>
        <v>0.00167529082820121</v>
      </c>
      <c r="G107" s="51" t="n">
        <f aca="false">EXP(-1*D107*$C$5*$C$7)</f>
        <v>0.212223566713189</v>
      </c>
      <c r="H107" s="52" t="n">
        <v>0.0661</v>
      </c>
      <c r="I107" s="58" t="n">
        <v>3.572</v>
      </c>
      <c r="J107" s="53" t="n">
        <v>0.9241885712</v>
      </c>
      <c r="K107" s="54" t="n">
        <f aca="false">MIN(167*POWER(B107,-2.38),11.6*POWER(B107,-1.41))</f>
        <v>0.00596539819826266</v>
      </c>
      <c r="L107" s="55" t="n">
        <f aca="false">K107*$N$10*J107*(G107*($D$10-$D$8)+MAX(G107*F107*($D$9-$D$10),0)+F107*$D$11+$D$12)</f>
        <v>4.57399568700338E-007</v>
      </c>
      <c r="M107" s="55" t="n">
        <f aca="false">$K$120*0.000084*(B107/10)^(-0.45)</f>
        <v>1.26370911330952E-005</v>
      </c>
      <c r="N107" s="55" t="n">
        <f aca="false">L107+M107</f>
        <v>1.30944907017955E-005</v>
      </c>
      <c r="O107" s="56" t="n">
        <f aca="false">100*$O$5*SQRT(N107)/(C107*J107*SQRT(($O$4*B107)*$O$6))/$L$5</f>
        <v>2.22659053612417E-008</v>
      </c>
      <c r="P107" s="57" t="n">
        <f aca="false">O107*B107*B107*0.0000000016021773</f>
        <v>1.94710986056807E-013</v>
      </c>
      <c r="R107" s="51"/>
      <c r="S107" s="63"/>
      <c r="T107" s="64"/>
      <c r="U107" s="55"/>
      <c r="V107" s="51"/>
      <c r="W107" s="55"/>
      <c r="X107" s="18"/>
      <c r="Y107" s="18"/>
    </row>
    <row r="108" customFormat="false" ht="12" hidden="false" customHeight="false" outlineLevel="0" collapsed="false">
      <c r="B108" s="50" t="n">
        <v>74.6818182</v>
      </c>
      <c r="C108" s="62" t="n">
        <v>164.4</v>
      </c>
      <c r="D108" s="51" t="n">
        <v>9.05</v>
      </c>
      <c r="E108" s="58" t="n">
        <v>2.874</v>
      </c>
      <c r="F108" s="51" t="n">
        <f aca="false">EXP(-$C$5*$C$6*E108)</f>
        <v>0.00198770812487497</v>
      </c>
      <c r="G108" s="51" t="n">
        <f aca="false">EXP(-1*D108*$C$5*$C$7)</f>
        <v>0.221612481774065</v>
      </c>
      <c r="H108" s="52" t="n">
        <v>0.0639</v>
      </c>
      <c r="I108" s="58" t="n">
        <v>3.468</v>
      </c>
      <c r="J108" s="53" t="n">
        <v>0.9217031632</v>
      </c>
      <c r="K108" s="54" t="n">
        <f aca="false">MIN(167*POWER(B108,-2.38),11.6*POWER(B108,-1.41))</f>
        <v>0.00581386643504054</v>
      </c>
      <c r="L108" s="55" t="n">
        <f aca="false">K108*$N$10*J108*(G108*($D$10-$D$8)+MAX(G108*F108*($D$9-$D$10),0)+F108*$D$11+$D$12)</f>
        <v>5.23520083929146E-007</v>
      </c>
      <c r="M108" s="55" t="n">
        <f aca="false">$K$120*0.000084*(B108/10)^(-0.45)</f>
        <v>1.25757620950765E-005</v>
      </c>
      <c r="N108" s="55" t="n">
        <f aca="false">L108+M108</f>
        <v>1.30992821790056E-005</v>
      </c>
      <c r="O108" s="56" t="n">
        <f aca="false">100*$O$5*SQRT(N108)/(C108*J108*SQRT(($O$4*B108)*$O$6))/$L$5</f>
        <v>2.3452528074138E-008</v>
      </c>
      <c r="P108" s="57" t="n">
        <f aca="false">O108*B108*B108*0.0000000016021773</f>
        <v>2.0957042986862E-013</v>
      </c>
      <c r="R108" s="51"/>
      <c r="S108" s="63"/>
      <c r="T108" s="64"/>
      <c r="U108" s="55"/>
      <c r="V108" s="51"/>
      <c r="W108" s="55"/>
      <c r="X108" s="18"/>
      <c r="Y108" s="18"/>
    </row>
    <row r="109" customFormat="false" ht="12" hidden="false" customHeight="false" outlineLevel="0" collapsed="false">
      <c r="B109" s="50" t="n">
        <v>75.4848485</v>
      </c>
      <c r="C109" s="62" t="n">
        <v>155.2</v>
      </c>
      <c r="D109" s="51" t="n">
        <v>8.81</v>
      </c>
      <c r="E109" s="58" t="n">
        <v>2.798</v>
      </c>
      <c r="F109" s="51" t="n">
        <f aca="false">EXP(-$C$5*$C$6*E109)</f>
        <v>0.00234312211906889</v>
      </c>
      <c r="G109" s="51" t="n">
        <f aca="false">EXP(-1*D109*$C$5*$C$7)</f>
        <v>0.230647432644135</v>
      </c>
      <c r="H109" s="52" t="n">
        <v>0.0617</v>
      </c>
      <c r="I109" s="58" t="n">
        <v>3.369</v>
      </c>
      <c r="J109" s="53" t="n">
        <v>0.9192177552</v>
      </c>
      <c r="K109" s="54" t="n">
        <f aca="false">MIN(167*POWER(B109,-2.38),11.6*POWER(B109,-1.41))</f>
        <v>0.0056677433534369</v>
      </c>
      <c r="L109" s="55" t="n">
        <f aca="false">K109*$N$10*J109*(G109*($D$10-$D$8)+MAX(G109*F109*($D$9-$D$10),0)+F109*$D$11+$D$12)</f>
        <v>5.96086474546669E-007</v>
      </c>
      <c r="M109" s="55" t="n">
        <f aca="false">$K$120*0.000084*(B109/10)^(-0.45)</f>
        <v>1.25153818780816E-005</v>
      </c>
      <c r="N109" s="55" t="n">
        <f aca="false">L109+M109</f>
        <v>1.31114683526283E-005</v>
      </c>
      <c r="O109" s="56" t="n">
        <f aca="false">100*$O$5*SQRT(N109)/(C109*J109*SQRT(($O$4*B109)*$O$6))/$L$5</f>
        <v>2.47885942336482E-008</v>
      </c>
      <c r="P109" s="57" t="n">
        <f aca="false">O109*B109*B109*0.0000000016021773</f>
        <v>2.26298694365269E-013</v>
      </c>
      <c r="R109" s="51"/>
      <c r="S109" s="63"/>
      <c r="T109" s="64"/>
      <c r="U109" s="55"/>
      <c r="V109" s="51"/>
      <c r="W109" s="55"/>
      <c r="X109" s="18"/>
      <c r="Y109" s="18"/>
    </row>
    <row r="110" customFormat="false" ht="12" hidden="false" customHeight="false" outlineLevel="0" collapsed="false">
      <c r="B110" s="50" t="n">
        <v>76.2878788</v>
      </c>
      <c r="C110" s="62" t="n">
        <v>146</v>
      </c>
      <c r="D110" s="51" t="n">
        <v>8.57</v>
      </c>
      <c r="E110" s="58" t="n">
        <v>2.724</v>
      </c>
      <c r="F110" s="51" t="n">
        <f aca="false">EXP(-$C$5*$C$6*E110)</f>
        <v>0.00275015501445389</v>
      </c>
      <c r="G110" s="51" t="n">
        <f aca="false">EXP(-1*D110*$C$5*$C$7)</f>
        <v>0.240050730714558</v>
      </c>
      <c r="H110" s="52" t="n">
        <v>0.0596</v>
      </c>
      <c r="I110" s="58" t="n">
        <v>3.272</v>
      </c>
      <c r="J110" s="51" t="n">
        <v>0.9167012796</v>
      </c>
      <c r="K110" s="54" t="n">
        <f aca="false">MIN(167*POWER(B110,-2.38),11.6*POWER(B110,-1.41))</f>
        <v>0.00552678140002759</v>
      </c>
      <c r="L110" s="55" t="n">
        <f aca="false">K110*$N$10*J110*(G110*($D$10-$D$8)+MAX(G110*F110*($D$9-$D$10),0)+F110*$D$11+$D$12)</f>
        <v>6.76560276761054E-007</v>
      </c>
      <c r="M110" s="55" t="n">
        <f aca="false">$K$120*0.000084*(B110/10)^(-0.45)</f>
        <v>1.24559259410389E-005</v>
      </c>
      <c r="N110" s="55" t="n">
        <f aca="false">L110+M110</f>
        <v>1.31324862178E-005</v>
      </c>
      <c r="O110" s="56" t="n">
        <f aca="false">100*$O$5*SQRT(N110)/(C110*J110*SQRT(($O$4*B110)*$O$6))/$L$5</f>
        <v>2.63045733437712E-008</v>
      </c>
      <c r="P110" s="57" t="n">
        <f aca="false">O110*B110*B110*0.0000000016021773</f>
        <v>2.45274791438513E-013</v>
      </c>
      <c r="R110" s="51"/>
      <c r="S110" s="63"/>
      <c r="T110" s="64"/>
      <c r="U110" s="55"/>
      <c r="V110" s="51"/>
      <c r="W110" s="55"/>
      <c r="X110" s="18"/>
      <c r="Y110" s="18"/>
    </row>
    <row r="111" customFormat="false" ht="12" hidden="false" customHeight="false" outlineLevel="0" collapsed="false">
      <c r="B111" s="50" t="n">
        <v>77.0909091</v>
      </c>
      <c r="C111" s="62" t="n">
        <v>136.8</v>
      </c>
      <c r="D111" s="51" t="n">
        <v>8.34</v>
      </c>
      <c r="E111" s="58" t="n">
        <v>2.654</v>
      </c>
      <c r="F111" s="51" t="n">
        <f aca="false">EXP(-$C$5*$C$6*E111)</f>
        <v>0.00320006870210215</v>
      </c>
      <c r="G111" s="51" t="n">
        <f aca="false">EXP(-1*D111*$C$5*$C$7)</f>
        <v>0.24942176003583</v>
      </c>
      <c r="H111" s="52" t="n">
        <v>0.0577</v>
      </c>
      <c r="I111" s="58" t="n">
        <v>3.18</v>
      </c>
      <c r="J111" s="53" t="n">
        <v>0.9142158716</v>
      </c>
      <c r="K111" s="54" t="n">
        <f aca="false">MIN(167*POWER(B111,-2.38),11.6*POWER(B111,-1.41))</f>
        <v>0.00539074679458007</v>
      </c>
      <c r="L111" s="55" t="n">
        <f aca="false">K111*$N$10*J111*(G111*($D$10-$D$8)+MAX(G111*F111*($D$9-$D$10),0)+F111*$D$11+$D$12)</f>
        <v>7.62177405692836E-007</v>
      </c>
      <c r="M111" s="55" t="n">
        <f aca="false">$K$120*0.000084*(B111/10)^(-0.45)</f>
        <v>1.23973706273753E-005</v>
      </c>
      <c r="N111" s="55" t="n">
        <f aca="false">L111+M111</f>
        <v>1.31595480330681E-005</v>
      </c>
      <c r="O111" s="56" t="n">
        <f aca="false">100*$O$5*SQRT(N111)/(C111*J111*SQRT(($O$4*B111)*$O$6))/$L$5</f>
        <v>2.80317555534733E-008</v>
      </c>
      <c r="P111" s="57" t="n">
        <f aca="false">O111*B111*B111*0.0000000016021773</f>
        <v>2.6691145077841E-013</v>
      </c>
      <c r="R111" s="51"/>
      <c r="S111" s="63"/>
      <c r="T111" s="64"/>
      <c r="U111" s="55"/>
      <c r="V111" s="51"/>
      <c r="W111" s="55"/>
      <c r="X111" s="18"/>
      <c r="Y111" s="18"/>
    </row>
    <row r="112" customFormat="false" ht="12" hidden="false" customHeight="false" outlineLevel="0" collapsed="false">
      <c r="B112" s="50" t="n">
        <v>77.8939394</v>
      </c>
      <c r="C112" s="62" t="n">
        <v>127.6</v>
      </c>
      <c r="D112" s="51" t="n">
        <v>8.12</v>
      </c>
      <c r="E112" s="58" t="n">
        <v>2.586</v>
      </c>
      <c r="F112" s="51" t="n">
        <f aca="false">EXP(-$C$5*$C$6*E112)</f>
        <v>0.00370750179425317</v>
      </c>
      <c r="G112" s="51" t="n">
        <f aca="false">EXP(-1*D112*$C$5*$C$7)</f>
        <v>0.25872747275735</v>
      </c>
      <c r="H112" s="52" t="n">
        <v>0.0558</v>
      </c>
      <c r="I112" s="58" t="n">
        <v>3.092</v>
      </c>
      <c r="J112" s="53" t="n">
        <v>0.9117304636</v>
      </c>
      <c r="K112" s="54" t="n">
        <f aca="false">MIN(167*POWER(B112,-2.38),11.6*POWER(B112,-1.41))</f>
        <v>0.00525941863062784</v>
      </c>
      <c r="L112" s="55" t="n">
        <f aca="false">K112*$N$10*J112*(G112*($D$10-$D$8)+MAX(G112*F112*($D$9-$D$10),0)+F112*$D$11+$D$12)</f>
        <v>8.55635031819867E-007</v>
      </c>
      <c r="M112" s="55" t="n">
        <f aca="false">$K$120*0.000084*(B112/10)^(-0.45)</f>
        <v>1.23396931243222E-005</v>
      </c>
      <c r="N112" s="55" t="n">
        <f aca="false">L112+M112</f>
        <v>1.31953281561421E-005</v>
      </c>
      <c r="O112" s="56" t="n">
        <f aca="false">100*$O$5*SQRT(N112)/(C112*J112*SQRT(($O$4*B112)*$O$6))/$L$5</f>
        <v>3.0019770735094E-008</v>
      </c>
      <c r="P112" s="57" t="n">
        <f aca="false">O112*B112*B112*0.0000000016021773</f>
        <v>2.91826873369726E-013</v>
      </c>
      <c r="R112" s="51"/>
      <c r="S112" s="63"/>
      <c r="T112" s="64"/>
      <c r="U112" s="55"/>
      <c r="V112" s="51"/>
      <c r="W112" s="55"/>
      <c r="X112" s="18"/>
      <c r="Y112" s="18"/>
    </row>
    <row r="113" customFormat="false" ht="12" hidden="false" customHeight="false" outlineLevel="0" collapsed="false">
      <c r="B113" s="50" t="n">
        <v>78.6969697</v>
      </c>
      <c r="C113" s="62" t="n">
        <v>118.4</v>
      </c>
      <c r="D113" s="51" t="n">
        <v>7.91</v>
      </c>
      <c r="E113" s="58" t="n">
        <v>2.52</v>
      </c>
      <c r="F113" s="51" t="n">
        <f aca="false">EXP(-$C$5*$C$6*E113)</f>
        <v>0.00427684367738355</v>
      </c>
      <c r="G113" s="51" t="n">
        <f aca="false">EXP(-1*D113*$C$5*$C$7)</f>
        <v>0.267933892145093</v>
      </c>
      <c r="H113" s="52" t="n">
        <v>0.054</v>
      </c>
      <c r="I113" s="58" t="n">
        <v>3.006</v>
      </c>
      <c r="J113" s="53" t="n">
        <v>0.909213988</v>
      </c>
      <c r="K113" s="54" t="n">
        <f aca="false">MIN(167*POWER(B113,-2.38),11.6*POWER(B113,-1.41))</f>
        <v>0.00513258804329665</v>
      </c>
      <c r="L113" s="55" t="n">
        <f aca="false">K113*$N$10*J113*(G113*($D$10-$D$8)+MAX(G113*F113*($D$9-$D$10),0)+F113*$D$11+$D$12)</f>
        <v>9.57090560604445E-007</v>
      </c>
      <c r="M113" s="55" t="n">
        <f aca="false">$K$120*0.000084*(B113/10)^(-0.45)</f>
        <v>1.2282871424491E-005</v>
      </c>
      <c r="N113" s="55" t="n">
        <f aca="false">L113+M113</f>
        <v>1.32399619850954E-005</v>
      </c>
      <c r="O113" s="56" t="n">
        <f aca="false">100*$O$5*SQRT(N113)/(C113*J113*SQRT(($O$4*B113)*$O$6))/$L$5</f>
        <v>3.23305283087823E-008</v>
      </c>
      <c r="P113" s="57" t="n">
        <f aca="false">O113*B113*B113*0.0000000016021773</f>
        <v>3.20803719668675E-013</v>
      </c>
      <c r="R113" s="51"/>
      <c r="S113" s="63"/>
      <c r="T113" s="64"/>
      <c r="U113" s="55"/>
      <c r="V113" s="51"/>
      <c r="W113" s="55"/>
      <c r="X113" s="18"/>
      <c r="Y113" s="18"/>
    </row>
    <row r="114" customFormat="false" ht="12" hidden="false" customHeight="false" outlineLevel="0" collapsed="false">
      <c r="B114" s="50" t="n">
        <v>79.5</v>
      </c>
      <c r="C114" s="62" t="n">
        <v>109.2</v>
      </c>
      <c r="D114" s="51" t="n">
        <v>7.71</v>
      </c>
      <c r="E114" s="58" t="n">
        <v>2.458</v>
      </c>
      <c r="F114" s="51" t="n">
        <f aca="false">EXP(-$C$5*$C$6*E114)</f>
        <v>0.00489108558065399</v>
      </c>
      <c r="G114" s="51" t="n">
        <f aca="false">EXP(-1*D114*$C$5*$C$7)</f>
        <v>0.277006308135986</v>
      </c>
      <c r="H114" s="52" t="n">
        <v>0.0522</v>
      </c>
      <c r="I114" s="58" t="n">
        <v>2.924</v>
      </c>
      <c r="J114" s="53" t="n">
        <v>0.90672858</v>
      </c>
      <c r="K114" s="54" t="n">
        <f aca="false">MIN(167*POWER(B114,-2.38),11.6*POWER(B114,-1.41))</f>
        <v>0.00501005743872996</v>
      </c>
      <c r="L114" s="55" t="n">
        <f aca="false">K114*$N$10*J114*(G114*($D$10-$D$8)+MAX(G114*F114*($D$9-$D$10),0)+F114*$D$11+$D$12)</f>
        <v>1.06223968321882E-006</v>
      </c>
      <c r="M114" s="55" t="n">
        <f aca="false">$K$120*0.000084*(B114/10)^(-0.45)</f>
        <v>1.22268842895699E-005</v>
      </c>
      <c r="N114" s="55" t="n">
        <f aca="false">L114+M114</f>
        <v>1.32891239727887E-005</v>
      </c>
      <c r="O114" s="56" t="n">
        <f aca="false">100*$O$5*SQRT(N114)/(C114*J114*SQRT(($O$4*B114)*$O$6))/$L$5</f>
        <v>3.50373230234828E-008</v>
      </c>
      <c r="P114" s="57" t="n">
        <f aca="false">O114*B114*B114*0.0000000016021773</f>
        <v>3.54793576759167E-013</v>
      </c>
      <c r="R114" s="51"/>
      <c r="S114" s="63"/>
      <c r="T114" s="64"/>
      <c r="U114" s="55"/>
      <c r="V114" s="51"/>
      <c r="W114" s="55"/>
      <c r="X114" s="18"/>
      <c r="Y114" s="18"/>
    </row>
    <row r="115" customFormat="false" ht="12" hidden="false" customHeight="false" outlineLevel="0" collapsed="false">
      <c r="B115" s="65" t="n">
        <v>80.3030303</v>
      </c>
      <c r="C115" s="66" t="n">
        <v>100</v>
      </c>
      <c r="D115" s="67" t="n">
        <v>7.51</v>
      </c>
      <c r="E115" s="67" t="n">
        <v>2.397</v>
      </c>
      <c r="F115" s="67" t="n">
        <f aca="false">EXP(-$C$5*$C$6*E115)</f>
        <v>0.00558145100307027</v>
      </c>
      <c r="G115" s="67" t="n">
        <f aca="false">EXP(-1*D115*$C$5*$C$7)</f>
        <v>0.286385922037725</v>
      </c>
      <c r="H115" s="68" t="n">
        <v>0.0506</v>
      </c>
      <c r="I115" s="67" t="n">
        <v>2.845</v>
      </c>
      <c r="J115" s="69" t="n">
        <v>0.904243172</v>
      </c>
      <c r="K115" s="70" t="n">
        <f aca="false">MIN(167*POWER(B115,-2.38),11.6*POWER(B115,-1.41))</f>
        <v>0.00489163977998744</v>
      </c>
      <c r="L115" s="71" t="n">
        <f aca="false">K115*$N$10*J115*(G115*($D$10-$D$8)+MAX(G115*F115*($D$9-$D$10),0)+F115*$D$11+$D$12)</f>
        <v>1.17707760029234E-006</v>
      </c>
      <c r="M115" s="71" t="n">
        <f aca="false">$K$120*0.000084*(B115/10)^(-0.45)</f>
        <v>1.21717112160047E-005</v>
      </c>
      <c r="N115" s="71" t="n">
        <f aca="false">L115+M115</f>
        <v>1.3348788816297E-005</v>
      </c>
      <c r="O115" s="72" t="n">
        <f aca="false">100*$O$5*SQRT(N115)/(C115*J115*SQRT(($O$4*B115)*$O$6))/$L$5</f>
        <v>3.82592078968514E-008</v>
      </c>
      <c r="P115" s="73" t="n">
        <f aca="false">O115*B115*B115*0.0000000016021773</f>
        <v>3.95285074931048E-013</v>
      </c>
      <c r="R115" s="51"/>
      <c r="S115" s="63"/>
      <c r="T115" s="64"/>
      <c r="U115" s="55"/>
      <c r="V115" s="51"/>
      <c r="W115" s="55"/>
      <c r="X115" s="18"/>
      <c r="Y115" s="18"/>
    </row>
    <row r="116" customFormat="false" ht="12" hidden="false" customHeight="false" outlineLevel="0" collapsed="false">
      <c r="J116" s="51"/>
      <c r="R116" s="51"/>
      <c r="S116" s="63"/>
      <c r="T116" s="64"/>
      <c r="U116" s="55"/>
      <c r="V116" s="51"/>
      <c r="W116" s="55"/>
      <c r="X116" s="18"/>
      <c r="Y116" s="18"/>
    </row>
    <row r="117" customFormat="false" ht="12" hidden="false" customHeight="false" outlineLevel="0" collapsed="false">
      <c r="D117" s="74" t="s">
        <v>69</v>
      </c>
      <c r="E117" s="74"/>
      <c r="F117" s="75" t="n">
        <f aca="false">0.803*SUM(L20:L115)</f>
        <v>1.19441608601202E-005</v>
      </c>
      <c r="G117" s="76" t="s">
        <v>70</v>
      </c>
      <c r="I117" s="30" t="s">
        <v>71</v>
      </c>
      <c r="J117" s="30"/>
      <c r="K117" s="77" t="n">
        <f aca="false">'bruit interne'!$B$12</f>
        <v>0.133536818008394</v>
      </c>
      <c r="L117" s="1" t="s">
        <v>72</v>
      </c>
      <c r="R117" s="51"/>
      <c r="S117" s="63"/>
      <c r="T117" s="64"/>
      <c r="U117" s="55"/>
      <c r="V117" s="51"/>
      <c r="W117" s="55"/>
      <c r="X117" s="18"/>
      <c r="Y117" s="18"/>
    </row>
    <row r="118" customFormat="false" ht="12" hidden="false" customHeight="false" outlineLevel="0" collapsed="false">
      <c r="D118" s="78" t="s">
        <v>73</v>
      </c>
      <c r="E118" s="78"/>
      <c r="F118" s="79" t="n">
        <f aca="false">0.803*SUM(M20:M115)</f>
        <v>0.000959645386996337</v>
      </c>
      <c r="G118" s="80" t="s">
        <v>70</v>
      </c>
      <c r="I118" s="30" t="s">
        <v>74</v>
      </c>
      <c r="J118" s="30"/>
      <c r="K118" s="33" t="n">
        <f aca="false">$K$117*$I$8*$I$8*$N$11</f>
        <v>0.000970412056466997</v>
      </c>
      <c r="L118" s="1" t="s">
        <v>70</v>
      </c>
      <c r="R118" s="51"/>
      <c r="S118" s="63"/>
      <c r="T118" s="64"/>
      <c r="U118" s="55"/>
      <c r="V118" s="51"/>
      <c r="W118" s="55"/>
      <c r="X118" s="18"/>
      <c r="Y118" s="18"/>
    </row>
    <row r="119" customFormat="false" ht="12" hidden="false" customHeight="false" outlineLevel="0" collapsed="false">
      <c r="D119" s="81" t="s">
        <v>75</v>
      </c>
      <c r="E119" s="81"/>
      <c r="F119" s="82" t="n">
        <f aca="false">0.803*SUM(N20:N115)</f>
        <v>0.000971589547856457</v>
      </c>
      <c r="G119" s="83" t="s">
        <v>70</v>
      </c>
      <c r="I119" s="30" t="s">
        <v>76</v>
      </c>
      <c r="J119" s="30"/>
      <c r="K119" s="31" t="n">
        <f aca="false">K120*K118/F118</f>
        <v>0.374151187259507</v>
      </c>
      <c r="R119" s="51"/>
      <c r="S119" s="63"/>
      <c r="T119" s="64"/>
      <c r="U119" s="55"/>
      <c r="V119" s="51"/>
      <c r="W119" s="55"/>
      <c r="X119" s="18"/>
      <c r="Y119" s="18"/>
    </row>
    <row r="120" customFormat="false" ht="12" hidden="false" customHeight="false" outlineLevel="0" collapsed="false">
      <c r="I120" s="30" t="s">
        <v>77</v>
      </c>
      <c r="J120" s="30"/>
      <c r="K120" s="15" t="n">
        <v>0.37</v>
      </c>
      <c r="M120" s="26" t="s">
        <v>78</v>
      </c>
      <c r="R120" s="51"/>
      <c r="S120" s="63"/>
      <c r="T120" s="64"/>
      <c r="U120" s="55"/>
      <c r="V120" s="51"/>
      <c r="W120" s="55"/>
      <c r="X120" s="18"/>
      <c r="Y120" s="18"/>
    </row>
    <row r="121" customFormat="false" ht="12.75" hidden="false" customHeight="false" outlineLevel="0" collapsed="false">
      <c r="R121" s="51"/>
      <c r="S121" s="63"/>
      <c r="T121" s="64"/>
      <c r="U121" s="55"/>
      <c r="V121" s="51"/>
      <c r="W121" s="55"/>
      <c r="X121" s="18"/>
      <c r="Y121" s="18"/>
    </row>
    <row r="122" s="1" customFormat="true" ht="12" hidden="false" customHeight="false" outlineLevel="0" collapsed="false">
      <c r="N122" s="2"/>
      <c r="Q122" s="3"/>
      <c r="R122" s="51"/>
      <c r="S122" s="63"/>
      <c r="T122" s="64"/>
      <c r="U122" s="55"/>
      <c r="V122" s="51"/>
      <c r="W122" s="55"/>
      <c r="X122" s="18"/>
      <c r="Y122" s="18"/>
    </row>
    <row r="123" customFormat="false" ht="12" hidden="false" customHeight="false" outlineLevel="0" collapsed="false">
      <c r="R123" s="51"/>
      <c r="S123" s="63"/>
      <c r="T123" s="64"/>
      <c r="U123" s="55"/>
      <c r="V123" s="51"/>
      <c r="W123" s="55"/>
      <c r="X123" s="18"/>
      <c r="Y123" s="18"/>
    </row>
    <row r="124" customFormat="false" ht="12" hidden="false" customHeight="false" outlineLevel="0" collapsed="false">
      <c r="R124" s="51"/>
      <c r="S124" s="63"/>
      <c r="T124" s="64"/>
      <c r="U124" s="55"/>
      <c r="V124" s="51"/>
      <c r="W124" s="55"/>
      <c r="X124" s="18"/>
      <c r="Y124" s="18"/>
    </row>
    <row r="125" customFormat="false" ht="12" hidden="false" customHeight="false" outlineLevel="0" collapsed="false">
      <c r="R125" s="51"/>
      <c r="S125" s="63"/>
      <c r="T125" s="64"/>
      <c r="U125" s="55"/>
      <c r="V125" s="51"/>
      <c r="W125" s="55"/>
      <c r="X125" s="18"/>
      <c r="Y125" s="18"/>
    </row>
    <row r="126" customFormat="false" ht="12" hidden="false" customHeight="false" outlineLevel="0" collapsed="false">
      <c r="R126" s="51"/>
      <c r="S126" s="63"/>
      <c r="T126" s="64"/>
      <c r="U126" s="55"/>
      <c r="V126" s="51"/>
      <c r="W126" s="55"/>
      <c r="X126" s="18"/>
      <c r="Y126" s="18"/>
    </row>
    <row r="127" customFormat="false" ht="12" hidden="false" customHeight="false" outlineLevel="0" collapsed="false">
      <c r="R127" s="51"/>
      <c r="S127" s="63"/>
      <c r="T127" s="64"/>
      <c r="U127" s="55"/>
      <c r="V127" s="51"/>
      <c r="W127" s="55"/>
      <c r="X127" s="18"/>
      <c r="Y127" s="18"/>
    </row>
    <row r="128" customFormat="false" ht="12" hidden="false" customHeight="false" outlineLevel="0" collapsed="false">
      <c r="R128" s="51"/>
      <c r="S128" s="63"/>
      <c r="T128" s="64"/>
      <c r="U128" s="55"/>
      <c r="V128" s="51"/>
      <c r="W128" s="55"/>
      <c r="X128" s="18"/>
      <c r="Y128" s="18"/>
    </row>
    <row r="129" customFormat="false" ht="12" hidden="false" customHeight="false" outlineLevel="0" collapsed="false">
      <c r="R129" s="51"/>
      <c r="S129" s="63"/>
      <c r="T129" s="64"/>
      <c r="U129" s="55"/>
      <c r="V129" s="51"/>
      <c r="W129" s="55"/>
      <c r="X129" s="18"/>
      <c r="Y129" s="18"/>
    </row>
    <row r="130" customFormat="false" ht="12" hidden="false" customHeight="false" outlineLevel="0" collapsed="false">
      <c r="R130" s="51"/>
      <c r="S130" s="63"/>
      <c r="T130" s="64"/>
      <c r="U130" s="55"/>
      <c r="V130" s="51"/>
      <c r="W130" s="55"/>
      <c r="X130" s="18"/>
      <c r="Y130" s="18"/>
    </row>
    <row r="131" customFormat="false" ht="12" hidden="false" customHeight="false" outlineLevel="0" collapsed="false">
      <c r="R131" s="51"/>
      <c r="S131" s="63"/>
      <c r="T131" s="64"/>
      <c r="U131" s="55"/>
      <c r="V131" s="51"/>
      <c r="W131" s="55"/>
      <c r="X131" s="18"/>
      <c r="Y131" s="18"/>
    </row>
    <row r="132" customFormat="false" ht="12" hidden="false" customHeight="false" outlineLevel="0" collapsed="false">
      <c r="R132" s="51"/>
      <c r="S132" s="63"/>
      <c r="T132" s="64"/>
      <c r="U132" s="55"/>
      <c r="V132" s="51"/>
      <c r="W132" s="55"/>
      <c r="X132" s="18"/>
      <c r="Y132" s="18"/>
    </row>
    <row r="133" customFormat="false" ht="12" hidden="false" customHeight="false" outlineLevel="0" collapsed="false">
      <c r="R133" s="51"/>
      <c r="S133" s="63"/>
      <c r="T133" s="64"/>
      <c r="U133" s="55"/>
      <c r="V133" s="51"/>
      <c r="W133" s="55"/>
      <c r="X133" s="18"/>
      <c r="Y133" s="18"/>
    </row>
    <row r="134" customFormat="false" ht="12" hidden="false" customHeight="false" outlineLevel="0" collapsed="false">
      <c r="R134" s="51"/>
      <c r="S134" s="63"/>
      <c r="T134" s="64"/>
      <c r="U134" s="55"/>
      <c r="V134" s="51"/>
      <c r="W134" s="55"/>
      <c r="X134" s="18"/>
      <c r="Y134" s="18"/>
    </row>
    <row r="135" customFormat="false" ht="12" hidden="false" customHeight="false" outlineLevel="0" collapsed="false">
      <c r="R135" s="51"/>
      <c r="S135" s="63"/>
      <c r="T135" s="64"/>
      <c r="U135" s="55"/>
      <c r="V135" s="51"/>
      <c r="W135" s="55"/>
      <c r="X135" s="18"/>
      <c r="Y135" s="18"/>
    </row>
    <row r="136" customFormat="false" ht="12" hidden="false" customHeight="false" outlineLevel="0" collapsed="false">
      <c r="R136" s="51"/>
      <c r="S136" s="63"/>
      <c r="T136" s="64"/>
      <c r="U136" s="55"/>
      <c r="V136" s="51"/>
      <c r="W136" s="55"/>
      <c r="X136" s="18"/>
      <c r="Y136" s="18"/>
    </row>
    <row r="137" customFormat="false" ht="12" hidden="false" customHeight="false" outlineLevel="0" collapsed="false">
      <c r="R137" s="51"/>
      <c r="S137" s="63"/>
      <c r="T137" s="64"/>
      <c r="U137" s="55"/>
      <c r="V137" s="51"/>
      <c r="W137" s="55"/>
      <c r="X137" s="18"/>
      <c r="Y137" s="18"/>
    </row>
    <row r="138" customFormat="false" ht="12" hidden="false" customHeight="false" outlineLevel="0" collapsed="false">
      <c r="R138" s="51"/>
      <c r="S138" s="63"/>
      <c r="T138" s="64"/>
      <c r="U138" s="55"/>
      <c r="V138" s="51"/>
      <c r="W138" s="55"/>
      <c r="X138" s="18"/>
      <c r="Y138" s="18"/>
    </row>
    <row r="139" customFormat="false" ht="12" hidden="false" customHeight="false" outlineLevel="0" collapsed="false">
      <c r="R139" s="51"/>
      <c r="S139" s="63"/>
      <c r="T139" s="64"/>
      <c r="U139" s="55"/>
      <c r="V139" s="51"/>
      <c r="W139" s="55"/>
      <c r="X139" s="18"/>
      <c r="Y139" s="18"/>
    </row>
    <row r="140" customFormat="false" ht="12" hidden="false" customHeight="false" outlineLevel="0" collapsed="false">
      <c r="R140" s="51"/>
      <c r="S140" s="63"/>
      <c r="T140" s="64"/>
      <c r="U140" s="55"/>
      <c r="V140" s="51"/>
      <c r="W140" s="55"/>
      <c r="X140" s="18"/>
      <c r="Y140" s="18"/>
    </row>
    <row r="141" customFormat="false" ht="12" hidden="false" customHeight="false" outlineLevel="0" collapsed="false">
      <c r="R141" s="51"/>
      <c r="S141" s="63"/>
      <c r="T141" s="64"/>
      <c r="U141" s="55"/>
      <c r="V141" s="51"/>
      <c r="W141" s="55"/>
      <c r="X141" s="18"/>
      <c r="Y141" s="18"/>
    </row>
    <row r="142" customFormat="false" ht="12" hidden="false" customHeight="false" outlineLevel="0" collapsed="false">
      <c r="R142" s="51"/>
      <c r="S142" s="63"/>
      <c r="T142" s="64"/>
      <c r="U142" s="55"/>
      <c r="V142" s="51"/>
      <c r="W142" s="55"/>
      <c r="X142" s="18"/>
      <c r="Y142" s="18"/>
    </row>
    <row r="143" customFormat="false" ht="12" hidden="false" customHeight="false" outlineLevel="0" collapsed="false">
      <c r="R143" s="51"/>
      <c r="S143" s="63"/>
      <c r="T143" s="64"/>
      <c r="U143" s="55"/>
      <c r="V143" s="51"/>
      <c r="W143" s="55"/>
      <c r="X143" s="18"/>
      <c r="Y143" s="18"/>
    </row>
    <row r="144" customFormat="false" ht="12" hidden="false" customHeight="false" outlineLevel="0" collapsed="false">
      <c r="R144" s="51"/>
      <c r="S144" s="63"/>
      <c r="T144" s="64"/>
      <c r="U144" s="55"/>
      <c r="V144" s="51"/>
      <c r="W144" s="55"/>
      <c r="X144" s="18"/>
      <c r="Y144" s="18"/>
    </row>
    <row r="145" customFormat="false" ht="12" hidden="false" customHeight="false" outlineLevel="0" collapsed="false">
      <c r="R145" s="51"/>
      <c r="S145" s="63"/>
      <c r="T145" s="64"/>
      <c r="U145" s="55"/>
      <c r="V145" s="51"/>
      <c r="W145" s="55"/>
      <c r="X145" s="18"/>
      <c r="Y145" s="18"/>
    </row>
    <row r="146" customFormat="false" ht="12" hidden="false" customHeight="false" outlineLevel="0" collapsed="false">
      <c r="R146" s="51"/>
      <c r="S146" s="63"/>
      <c r="T146" s="64"/>
      <c r="U146" s="55"/>
      <c r="V146" s="51"/>
      <c r="W146" s="55"/>
      <c r="X146" s="18"/>
      <c r="Y146" s="18"/>
    </row>
    <row r="147" customFormat="false" ht="12" hidden="false" customHeight="false" outlineLevel="0" collapsed="false">
      <c r="R147" s="51"/>
      <c r="S147" s="63"/>
      <c r="T147" s="64"/>
      <c r="U147" s="55"/>
      <c r="V147" s="51"/>
      <c r="W147" s="55"/>
      <c r="X147" s="18"/>
      <c r="Y147" s="18"/>
    </row>
    <row r="148" customFormat="false" ht="12" hidden="false" customHeight="false" outlineLevel="0" collapsed="false">
      <c r="R148" s="51"/>
      <c r="S148" s="63"/>
      <c r="T148" s="64"/>
      <c r="U148" s="55"/>
      <c r="V148" s="51"/>
      <c r="W148" s="55"/>
      <c r="X148" s="18"/>
      <c r="Y148" s="18"/>
    </row>
    <row r="149" customFormat="false" ht="12" hidden="false" customHeight="false" outlineLevel="0" collapsed="false">
      <c r="R149" s="51"/>
      <c r="S149" s="63"/>
      <c r="T149" s="64"/>
      <c r="U149" s="55"/>
      <c r="V149" s="51"/>
      <c r="W149" s="55"/>
      <c r="X149" s="18"/>
      <c r="Y149" s="18"/>
    </row>
    <row r="150" customFormat="false" ht="12" hidden="false" customHeight="false" outlineLevel="0" collapsed="false">
      <c r="R150" s="51"/>
      <c r="S150" s="63"/>
      <c r="T150" s="64"/>
      <c r="U150" s="55"/>
      <c r="V150" s="51"/>
      <c r="W150" s="55"/>
      <c r="X150" s="18"/>
      <c r="Y150" s="18"/>
    </row>
    <row r="151" customFormat="false" ht="12" hidden="false" customHeight="false" outlineLevel="0" collapsed="false">
      <c r="R151" s="51"/>
      <c r="S151" s="63"/>
      <c r="T151" s="64"/>
      <c r="U151" s="55"/>
      <c r="V151" s="51"/>
      <c r="W151" s="55"/>
      <c r="X151" s="18"/>
      <c r="Y151" s="18"/>
    </row>
    <row r="152" customFormat="false" ht="12" hidden="false" customHeight="false" outlineLevel="0" collapsed="false">
      <c r="R152" s="51"/>
      <c r="S152" s="63"/>
      <c r="T152" s="64"/>
      <c r="U152" s="55"/>
      <c r="V152" s="51"/>
      <c r="W152" s="55"/>
      <c r="X152" s="18"/>
      <c r="Y152" s="18"/>
    </row>
    <row r="153" customFormat="false" ht="12" hidden="false" customHeight="false" outlineLevel="0" collapsed="false">
      <c r="R153" s="51"/>
      <c r="S153" s="63"/>
      <c r="T153" s="64"/>
      <c r="U153" s="55"/>
      <c r="V153" s="51"/>
      <c r="W153" s="55"/>
      <c r="X153" s="18"/>
      <c r="Y153" s="18"/>
    </row>
    <row r="154" customFormat="false" ht="12" hidden="false" customHeight="false" outlineLevel="0" collapsed="false">
      <c r="R154" s="51"/>
      <c r="S154" s="63"/>
      <c r="T154" s="64"/>
      <c r="U154" s="55"/>
      <c r="V154" s="51"/>
      <c r="W154" s="55"/>
      <c r="X154" s="18"/>
      <c r="Y154" s="18"/>
    </row>
    <row r="155" customFormat="false" ht="12" hidden="false" customHeight="false" outlineLevel="0" collapsed="false">
      <c r="R155" s="51"/>
      <c r="S155" s="63"/>
      <c r="T155" s="64"/>
      <c r="U155" s="55"/>
      <c r="V155" s="51"/>
      <c r="W155" s="55"/>
      <c r="X155" s="18"/>
      <c r="Y155" s="18"/>
    </row>
    <row r="156" customFormat="false" ht="12" hidden="false" customHeight="false" outlineLevel="0" collapsed="false">
      <c r="R156" s="51"/>
      <c r="S156" s="63"/>
      <c r="T156" s="64"/>
      <c r="U156" s="55"/>
      <c r="V156" s="51"/>
      <c r="W156" s="55"/>
      <c r="X156" s="18"/>
      <c r="Y156" s="18"/>
    </row>
    <row r="157" customFormat="false" ht="12" hidden="false" customHeight="false" outlineLevel="0" collapsed="false">
      <c r="R157" s="51"/>
      <c r="S157" s="63"/>
      <c r="T157" s="64"/>
      <c r="U157" s="55"/>
      <c r="V157" s="51"/>
      <c r="W157" s="55"/>
      <c r="X157" s="18"/>
      <c r="Y157" s="18"/>
    </row>
    <row r="158" customFormat="false" ht="12" hidden="false" customHeight="false" outlineLevel="0" collapsed="false">
      <c r="R158" s="51"/>
      <c r="S158" s="63"/>
      <c r="T158" s="64"/>
      <c r="U158" s="55"/>
      <c r="V158" s="51"/>
      <c r="W158" s="55"/>
      <c r="X158" s="18"/>
      <c r="Y158" s="18"/>
    </row>
    <row r="159" customFormat="false" ht="12" hidden="false" customHeight="false" outlineLevel="0" collapsed="false">
      <c r="R159" s="51"/>
      <c r="S159" s="63"/>
      <c r="T159" s="64"/>
      <c r="U159" s="55"/>
      <c r="V159" s="51"/>
      <c r="W159" s="55"/>
      <c r="X159" s="18"/>
      <c r="Y159" s="18"/>
    </row>
    <row r="160" customFormat="false" ht="12" hidden="false" customHeight="false" outlineLevel="0" collapsed="false">
      <c r="R160" s="51"/>
      <c r="S160" s="63"/>
      <c r="T160" s="55"/>
      <c r="U160" s="55"/>
      <c r="V160" s="51"/>
      <c r="W160" s="55"/>
      <c r="X160" s="18"/>
      <c r="Y160" s="18"/>
    </row>
    <row r="161" customFormat="false" ht="12" hidden="false" customHeight="false" outlineLevel="0" collapsed="false">
      <c r="R161" s="51"/>
      <c r="S161" s="63"/>
      <c r="T161" s="55"/>
      <c r="U161" s="55"/>
      <c r="V161" s="51"/>
      <c r="W161" s="55"/>
      <c r="X161" s="18"/>
      <c r="Y161" s="18"/>
    </row>
    <row r="162" customFormat="false" ht="12" hidden="false" customHeight="false" outlineLevel="0" collapsed="false">
      <c r="R162" s="51"/>
      <c r="S162" s="63"/>
      <c r="T162" s="55"/>
      <c r="U162" s="55"/>
      <c r="V162" s="51"/>
      <c r="W162" s="55"/>
      <c r="X162" s="18"/>
      <c r="Y162" s="18"/>
    </row>
    <row r="163" customFormat="false" ht="12" hidden="false" customHeight="false" outlineLevel="0" collapsed="false">
      <c r="R163" s="51"/>
      <c r="S163" s="63"/>
      <c r="T163" s="55"/>
      <c r="U163" s="55"/>
      <c r="V163" s="51"/>
      <c r="W163" s="55"/>
      <c r="X163" s="18"/>
      <c r="Y163" s="18"/>
    </row>
    <row r="164" customFormat="false" ht="12" hidden="false" customHeight="false" outlineLevel="0" collapsed="false">
      <c r="R164" s="51"/>
      <c r="S164" s="63"/>
      <c r="T164" s="55"/>
      <c r="U164" s="55"/>
      <c r="V164" s="51"/>
      <c r="W164" s="55"/>
      <c r="X164" s="18"/>
      <c r="Y164" s="18"/>
    </row>
    <row r="165" customFormat="false" ht="12" hidden="false" customHeight="false" outlineLevel="0" collapsed="false">
      <c r="R165" s="51"/>
      <c r="S165" s="63"/>
      <c r="T165" s="55"/>
      <c r="U165" s="55"/>
      <c r="V165" s="51"/>
      <c r="W165" s="55"/>
      <c r="X165" s="18"/>
      <c r="Y165" s="18"/>
    </row>
    <row r="166" customFormat="false" ht="12" hidden="false" customHeight="false" outlineLevel="0" collapsed="false">
      <c r="R166" s="51"/>
      <c r="S166" s="63"/>
      <c r="T166" s="55"/>
      <c r="U166" s="55"/>
      <c r="V166" s="51"/>
      <c r="W166" s="55"/>
      <c r="X166" s="18"/>
      <c r="Y166" s="18"/>
    </row>
    <row r="167" customFormat="false" ht="12" hidden="false" customHeight="false" outlineLevel="0" collapsed="false">
      <c r="R167" s="51"/>
      <c r="S167" s="63"/>
      <c r="T167" s="55"/>
      <c r="U167" s="55"/>
      <c r="V167" s="51"/>
      <c r="W167" s="55"/>
      <c r="X167" s="18"/>
      <c r="Y167" s="18"/>
    </row>
    <row r="168" customFormat="false" ht="12" hidden="false" customHeight="false" outlineLevel="0" collapsed="false">
      <c r="R168" s="51"/>
      <c r="S168" s="63"/>
      <c r="T168" s="55"/>
      <c r="U168" s="55"/>
      <c r="V168" s="51"/>
      <c r="W168" s="55"/>
      <c r="X168" s="18"/>
      <c r="Y168" s="18"/>
    </row>
    <row r="169" customFormat="false" ht="12" hidden="false" customHeight="false" outlineLevel="0" collapsed="false">
      <c r="R169" s="51"/>
      <c r="S169" s="63"/>
      <c r="T169" s="55"/>
      <c r="U169" s="55"/>
      <c r="V169" s="51"/>
      <c r="W169" s="55"/>
      <c r="X169" s="18"/>
      <c r="Y169" s="18"/>
    </row>
    <row r="170" customFormat="false" ht="12" hidden="false" customHeight="false" outlineLevel="0" collapsed="false">
      <c r="R170" s="51"/>
      <c r="S170" s="63"/>
      <c r="T170" s="55"/>
      <c r="U170" s="55"/>
      <c r="V170" s="51"/>
      <c r="W170" s="55"/>
      <c r="X170" s="18"/>
      <c r="Y170" s="18"/>
    </row>
    <row r="171" customFormat="false" ht="12" hidden="false" customHeight="false" outlineLevel="0" collapsed="false">
      <c r="R171" s="51"/>
      <c r="S171" s="63"/>
      <c r="T171" s="55"/>
      <c r="U171" s="55"/>
      <c r="V171" s="51"/>
      <c r="W171" s="55"/>
      <c r="X171" s="18"/>
      <c r="Y171" s="18"/>
    </row>
    <row r="172" customFormat="false" ht="12" hidden="false" customHeight="false" outlineLevel="0" collapsed="false">
      <c r="R172" s="51"/>
      <c r="S172" s="63"/>
      <c r="T172" s="55"/>
      <c r="U172" s="55"/>
      <c r="V172" s="51"/>
      <c r="W172" s="55"/>
      <c r="X172" s="18"/>
      <c r="Y172" s="18"/>
    </row>
    <row r="173" customFormat="false" ht="12" hidden="false" customHeight="false" outlineLevel="0" collapsed="false">
      <c r="R173" s="51"/>
      <c r="S173" s="63"/>
      <c r="T173" s="55"/>
      <c r="U173" s="55"/>
      <c r="V173" s="51"/>
      <c r="W173" s="55"/>
      <c r="X173" s="18"/>
      <c r="Y173" s="18"/>
    </row>
    <row r="174" customFormat="false" ht="12" hidden="false" customHeight="false" outlineLevel="0" collapsed="false">
      <c r="R174" s="51"/>
      <c r="S174" s="63"/>
      <c r="T174" s="55"/>
      <c r="U174" s="55"/>
      <c r="V174" s="51"/>
      <c r="W174" s="55"/>
      <c r="X174" s="18"/>
      <c r="Y174" s="18"/>
    </row>
    <row r="175" customFormat="false" ht="12" hidden="false" customHeight="false" outlineLevel="0" collapsed="false">
      <c r="R175" s="51"/>
      <c r="S175" s="63"/>
      <c r="T175" s="55"/>
      <c r="U175" s="55"/>
      <c r="V175" s="51"/>
      <c r="W175" s="55"/>
      <c r="X175" s="18"/>
      <c r="Y175" s="18"/>
    </row>
    <row r="176" customFormat="false" ht="12" hidden="false" customHeight="false" outlineLevel="0" collapsed="false">
      <c r="R176" s="51"/>
      <c r="S176" s="63"/>
      <c r="T176" s="55"/>
      <c r="U176" s="55"/>
      <c r="V176" s="51"/>
      <c r="W176" s="55"/>
      <c r="X176" s="18"/>
      <c r="Y176" s="18"/>
    </row>
    <row r="177" customFormat="false" ht="12" hidden="false" customHeight="false" outlineLevel="0" collapsed="false">
      <c r="R177" s="51"/>
      <c r="S177" s="63"/>
      <c r="T177" s="55"/>
      <c r="U177" s="55"/>
      <c r="V177" s="51"/>
      <c r="W177" s="55"/>
      <c r="X177" s="18"/>
      <c r="Y177" s="18"/>
    </row>
    <row r="178" customFormat="false" ht="12" hidden="false" customHeight="false" outlineLevel="0" collapsed="false">
      <c r="R178" s="51"/>
      <c r="S178" s="63"/>
      <c r="T178" s="55"/>
      <c r="U178" s="55"/>
      <c r="V178" s="51"/>
      <c r="W178" s="55"/>
      <c r="X178" s="18"/>
      <c r="Y178" s="18"/>
    </row>
    <row r="179" customFormat="false" ht="12" hidden="false" customHeight="false" outlineLevel="0" collapsed="false">
      <c r="R179" s="51"/>
      <c r="S179" s="63"/>
      <c r="T179" s="55"/>
      <c r="U179" s="55"/>
      <c r="V179" s="51"/>
      <c r="W179" s="55"/>
      <c r="X179" s="18"/>
      <c r="Y179" s="18"/>
    </row>
    <row r="180" customFormat="false" ht="12" hidden="false" customHeight="false" outlineLevel="0" collapsed="false">
      <c r="R180" s="51"/>
      <c r="S180" s="63"/>
      <c r="T180" s="55"/>
      <c r="U180" s="55"/>
      <c r="V180" s="51"/>
      <c r="W180" s="55"/>
      <c r="X180" s="18"/>
      <c r="Y180" s="18"/>
    </row>
    <row r="181" customFormat="false" ht="12" hidden="false" customHeight="false" outlineLevel="0" collapsed="false">
      <c r="R181" s="51"/>
      <c r="S181" s="63"/>
      <c r="T181" s="55"/>
      <c r="U181" s="55"/>
      <c r="V181" s="51"/>
      <c r="W181" s="55"/>
      <c r="X181" s="18"/>
      <c r="Y181" s="18"/>
    </row>
    <row r="182" customFormat="false" ht="12" hidden="false" customHeight="false" outlineLevel="0" collapsed="false">
      <c r="R182" s="51"/>
      <c r="S182" s="63"/>
      <c r="T182" s="55"/>
      <c r="U182" s="55"/>
      <c r="V182" s="51"/>
      <c r="W182" s="55"/>
      <c r="X182" s="18"/>
      <c r="Y182" s="18"/>
    </row>
    <row r="183" customFormat="false" ht="12" hidden="false" customHeight="false" outlineLevel="0" collapsed="false">
      <c r="R183" s="51"/>
      <c r="S183" s="63"/>
      <c r="T183" s="55"/>
      <c r="U183" s="55"/>
      <c r="V183" s="51"/>
      <c r="W183" s="55"/>
      <c r="X183" s="18"/>
      <c r="Y183" s="18"/>
    </row>
    <row r="184" customFormat="false" ht="12" hidden="false" customHeight="false" outlineLevel="0" collapsed="false">
      <c r="R184" s="51"/>
      <c r="S184" s="63"/>
      <c r="T184" s="55"/>
      <c r="U184" s="55"/>
      <c r="V184" s="51"/>
      <c r="W184" s="55"/>
      <c r="X184" s="18"/>
      <c r="Y184" s="18"/>
    </row>
    <row r="185" customFormat="false" ht="12" hidden="false" customHeight="false" outlineLevel="0" collapsed="false">
      <c r="R185" s="51"/>
      <c r="S185" s="63"/>
      <c r="T185" s="55"/>
      <c r="U185" s="55"/>
      <c r="V185" s="51"/>
      <c r="W185" s="55"/>
      <c r="X185" s="18"/>
      <c r="Y185" s="18"/>
    </row>
    <row r="186" customFormat="false" ht="12" hidden="false" customHeight="false" outlineLevel="0" collapsed="false">
      <c r="R186" s="51"/>
      <c r="S186" s="63"/>
      <c r="T186" s="55"/>
      <c r="U186" s="55"/>
      <c r="V186" s="51"/>
      <c r="W186" s="55"/>
      <c r="X186" s="18"/>
      <c r="Y186" s="18"/>
    </row>
    <row r="187" customFormat="false" ht="12" hidden="false" customHeight="false" outlineLevel="0" collapsed="false">
      <c r="R187" s="51"/>
      <c r="S187" s="63"/>
      <c r="T187" s="55"/>
      <c r="U187" s="55"/>
      <c r="V187" s="51"/>
      <c r="W187" s="55"/>
      <c r="X187" s="18"/>
      <c r="Y187" s="18"/>
    </row>
    <row r="188" customFormat="false" ht="12" hidden="false" customHeight="false" outlineLevel="0" collapsed="false">
      <c r="R188" s="51"/>
      <c r="S188" s="63"/>
      <c r="T188" s="55"/>
      <c r="U188" s="55"/>
      <c r="V188" s="51"/>
      <c r="W188" s="55"/>
      <c r="X188" s="18"/>
      <c r="Y188" s="18"/>
    </row>
    <row r="189" customFormat="false" ht="12" hidden="false" customHeight="false" outlineLevel="0" collapsed="false">
      <c r="R189" s="51"/>
      <c r="S189" s="63"/>
      <c r="T189" s="55"/>
      <c r="U189" s="55"/>
      <c r="V189" s="51"/>
      <c r="W189" s="55"/>
      <c r="X189" s="18"/>
      <c r="Y189" s="18"/>
    </row>
    <row r="190" customFormat="false" ht="12" hidden="false" customHeight="false" outlineLevel="0" collapsed="false">
      <c r="R190" s="51"/>
      <c r="S190" s="63"/>
      <c r="T190" s="55"/>
      <c r="U190" s="55"/>
      <c r="V190" s="51"/>
      <c r="W190" s="55"/>
      <c r="X190" s="18"/>
      <c r="Y190" s="18"/>
    </row>
    <row r="191" customFormat="false" ht="12" hidden="false" customHeight="false" outlineLevel="0" collapsed="false">
      <c r="R191" s="51"/>
      <c r="S191" s="63"/>
      <c r="T191" s="55"/>
      <c r="U191" s="55"/>
      <c r="V191" s="51"/>
      <c r="W191" s="55"/>
      <c r="X191" s="18"/>
      <c r="Y191" s="18"/>
    </row>
    <row r="192" customFormat="false" ht="12" hidden="false" customHeight="false" outlineLevel="0" collapsed="false">
      <c r="R192" s="51"/>
      <c r="S192" s="63"/>
      <c r="T192" s="55"/>
      <c r="U192" s="55"/>
      <c r="V192" s="51"/>
      <c r="W192" s="55"/>
      <c r="X192" s="18"/>
      <c r="Y192" s="18"/>
    </row>
    <row r="193" customFormat="false" ht="12" hidden="false" customHeight="false" outlineLevel="0" collapsed="false">
      <c r="R193" s="51"/>
      <c r="S193" s="63"/>
      <c r="T193" s="55"/>
      <c r="U193" s="55"/>
      <c r="V193" s="51"/>
      <c r="W193" s="55"/>
      <c r="X193" s="18"/>
      <c r="Y193" s="18"/>
    </row>
    <row r="194" customFormat="false" ht="12" hidden="false" customHeight="false" outlineLevel="0" collapsed="false">
      <c r="R194" s="51"/>
      <c r="S194" s="63"/>
      <c r="T194" s="55"/>
      <c r="U194" s="55"/>
      <c r="V194" s="51"/>
      <c r="W194" s="55"/>
      <c r="X194" s="18"/>
      <c r="Y194" s="18"/>
    </row>
    <row r="195" customFormat="false" ht="12" hidden="false" customHeight="false" outlineLevel="0" collapsed="false">
      <c r="R195" s="51"/>
      <c r="S195" s="63"/>
      <c r="T195" s="55"/>
      <c r="U195" s="55"/>
      <c r="V195" s="51"/>
      <c r="W195" s="55"/>
      <c r="X195" s="18"/>
      <c r="Y195" s="18"/>
    </row>
    <row r="196" customFormat="false" ht="12" hidden="false" customHeight="false" outlineLevel="0" collapsed="false">
      <c r="R196" s="51"/>
      <c r="S196" s="63"/>
      <c r="T196" s="55"/>
      <c r="U196" s="55"/>
      <c r="V196" s="51"/>
      <c r="W196" s="55"/>
      <c r="X196" s="18"/>
      <c r="Y196" s="18"/>
    </row>
    <row r="197" customFormat="false" ht="12" hidden="false" customHeight="false" outlineLevel="0" collapsed="false">
      <c r="R197" s="51"/>
      <c r="S197" s="63"/>
      <c r="T197" s="55"/>
      <c r="U197" s="55"/>
      <c r="V197" s="51"/>
      <c r="W197" s="55"/>
      <c r="X197" s="18"/>
      <c r="Y197" s="18"/>
    </row>
    <row r="198" customFormat="false" ht="12" hidden="false" customHeight="false" outlineLevel="0" collapsed="false">
      <c r="R198" s="51"/>
      <c r="S198" s="63"/>
      <c r="T198" s="55"/>
      <c r="U198" s="55"/>
      <c r="V198" s="51"/>
      <c r="W198" s="55"/>
      <c r="X198" s="18"/>
      <c r="Y198" s="18"/>
    </row>
    <row r="199" customFormat="false" ht="12" hidden="false" customHeight="false" outlineLevel="0" collapsed="false">
      <c r="R199" s="51"/>
      <c r="S199" s="63"/>
      <c r="T199" s="55"/>
      <c r="U199" s="55"/>
      <c r="V199" s="51"/>
      <c r="W199" s="55"/>
      <c r="X199" s="18"/>
      <c r="Y199" s="18"/>
    </row>
    <row r="200" customFormat="false" ht="12" hidden="false" customHeight="false" outlineLevel="0" collapsed="false">
      <c r="R200" s="18"/>
      <c r="S200" s="19"/>
      <c r="T200" s="18"/>
      <c r="U200" s="18"/>
      <c r="V200" s="18"/>
      <c r="W200" s="18"/>
      <c r="X200" s="18"/>
      <c r="Y200" s="18"/>
    </row>
  </sheetData>
  <mergeCells count="32">
    <mergeCell ref="B2:E2"/>
    <mergeCell ref="F2:K2"/>
    <mergeCell ref="B8:C8"/>
    <mergeCell ref="B9:C9"/>
    <mergeCell ref="L9:M9"/>
    <mergeCell ref="B10:C10"/>
    <mergeCell ref="L10:M10"/>
    <mergeCell ref="B11:C11"/>
    <mergeCell ref="F11:H11"/>
    <mergeCell ref="L11:M11"/>
    <mergeCell ref="B12:C12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P15"/>
    <mergeCell ref="D117:E117"/>
    <mergeCell ref="I117:J117"/>
    <mergeCell ref="D118:E118"/>
    <mergeCell ref="I118:J118"/>
    <mergeCell ref="D119:E119"/>
    <mergeCell ref="I119:J119"/>
    <mergeCell ref="I120:J120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4296875" defaultRowHeight="12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12.85"/>
    <col collapsed="false" customWidth="true" hidden="false" outlineLevel="0" max="3" min="3" style="1" width="8.71"/>
    <col collapsed="false" customWidth="true" hidden="false" outlineLevel="0" max="4" min="4" style="1" width="9.43"/>
    <col collapsed="false" customWidth="true" hidden="false" outlineLevel="0" max="5" min="5" style="1" width="16.14"/>
    <col collapsed="false" customWidth="true" hidden="false" outlineLevel="0" max="6" min="6" style="1" width="12"/>
    <col collapsed="false" customWidth="true" hidden="false" outlineLevel="0" max="7" min="7" style="1" width="11.71"/>
    <col collapsed="false" customWidth="true" hidden="false" outlineLevel="0" max="8" min="8" style="1" width="13.71"/>
    <col collapsed="false" customWidth="true" hidden="false" outlineLevel="0" max="9" min="9" style="1" width="14.43"/>
    <col collapsed="false" customWidth="true" hidden="false" outlineLevel="0" max="10" min="10" style="1" width="8.71"/>
    <col collapsed="false" customWidth="true" hidden="false" outlineLevel="0" max="11" min="11" style="1" width="14.87"/>
    <col collapsed="false" customWidth="true" hidden="false" outlineLevel="0" max="12" min="12" style="1" width="9.28"/>
    <col collapsed="false" customWidth="true" hidden="false" outlineLevel="0" max="13" min="13" style="1" width="12.14"/>
    <col collapsed="false" customWidth="true" hidden="false" outlineLevel="0" max="14" min="14" style="1" width="12.28"/>
    <col collapsed="false" customWidth="true" hidden="false" outlineLevel="0" max="15" min="15" style="2" width="12.14"/>
    <col collapsed="false" customWidth="true" hidden="false" outlineLevel="0" max="16" min="16" style="2" width="9.28"/>
    <col collapsed="false" customWidth="false" hidden="false" outlineLevel="0" max="17" min="17" style="1" width="11.43"/>
    <col collapsed="false" customWidth="true" hidden="false" outlineLevel="0" max="19" min="18" style="3" width="10.73"/>
    <col collapsed="false" customWidth="false" hidden="false" outlineLevel="0" max="20" min="20" style="1" width="11.43"/>
    <col collapsed="false" customWidth="true" hidden="false" outlineLevel="0" max="21" min="21" style="3" width="10.73"/>
    <col collapsed="false" customWidth="false" hidden="false" outlineLevel="0" max="16384" min="22" style="1" width="11.43"/>
  </cols>
  <sheetData>
    <row r="1" customFormat="false" ht="12" hidden="false" customHeight="false" outlineLevel="0" collapsed="false">
      <c r="F1" s="4"/>
      <c r="G1" s="5"/>
      <c r="H1" s="5"/>
      <c r="I1" s="5"/>
      <c r="J1" s="5"/>
      <c r="K1" s="5"/>
      <c r="L1" s="5"/>
      <c r="M1" s="6"/>
    </row>
    <row r="2" customFormat="false" ht="17.35" hidden="false" customHeight="false" outlineLevel="0" collapsed="false">
      <c r="B2" s="7" t="s">
        <v>0</v>
      </c>
      <c r="C2" s="7"/>
      <c r="D2" s="7"/>
      <c r="E2" s="7"/>
      <c r="F2" s="8" t="s">
        <v>1</v>
      </c>
      <c r="G2" s="8"/>
      <c r="H2" s="8"/>
      <c r="I2" s="8"/>
      <c r="J2" s="8"/>
      <c r="K2" s="8"/>
      <c r="L2" s="9" t="s">
        <v>2</v>
      </c>
      <c r="M2" s="10"/>
      <c r="Q2" s="84"/>
      <c r="R2" s="85"/>
      <c r="S2" s="85"/>
      <c r="T2" s="84"/>
    </row>
    <row r="3" customFormat="false" ht="12" hidden="false" customHeight="false" outlineLevel="0" collapsed="false">
      <c r="F3" s="11"/>
      <c r="G3" s="12"/>
      <c r="H3" s="12"/>
      <c r="I3" s="12"/>
      <c r="J3" s="12"/>
      <c r="K3" s="12"/>
      <c r="L3" s="12"/>
      <c r="M3" s="13"/>
      <c r="Q3" s="84"/>
      <c r="R3" s="85"/>
      <c r="S3" s="85"/>
      <c r="T3" s="84"/>
    </row>
    <row r="4" s="1" customFormat="true" ht="12.65" hidden="false" customHeight="false" outlineLevel="0" collapsed="false">
      <c r="B4" s="14" t="s">
        <v>3</v>
      </c>
      <c r="C4" s="1" t="n">
        <v>11.3</v>
      </c>
      <c r="D4" s="1" t="s">
        <v>4</v>
      </c>
      <c r="E4" s="2" t="s">
        <v>5</v>
      </c>
      <c r="F4" s="15" t="n">
        <v>202</v>
      </c>
      <c r="G4" s="1" t="s">
        <v>6</v>
      </c>
      <c r="H4" s="1" t="s">
        <v>7</v>
      </c>
      <c r="I4" s="1" t="n">
        <v>1</v>
      </c>
      <c r="J4" s="1" t="s">
        <v>4</v>
      </c>
      <c r="K4" s="16" t="s">
        <v>8</v>
      </c>
      <c r="L4" s="15" t="n">
        <v>10</v>
      </c>
      <c r="M4" s="1" t="s">
        <v>9</v>
      </c>
      <c r="N4" s="17" t="s">
        <v>10</v>
      </c>
      <c r="O4" s="15" t="n">
        <v>0.5</v>
      </c>
      <c r="P4" s="18"/>
      <c r="Q4" s="85"/>
      <c r="R4" s="85"/>
      <c r="S4" s="86"/>
      <c r="T4" s="84"/>
    </row>
    <row r="5" s="1" customFormat="true" ht="12.65" hidden="false" customHeight="false" outlineLevel="0" collapsed="false">
      <c r="B5" s="14" t="s">
        <v>12</v>
      </c>
      <c r="C5" s="1" t="n">
        <v>16.65</v>
      </c>
      <c r="D5" s="1" t="s">
        <v>4</v>
      </c>
      <c r="E5" s="2" t="s">
        <v>13</v>
      </c>
      <c r="F5" s="15" t="n">
        <f aca="false">15.2/2</f>
        <v>7.6</v>
      </c>
      <c r="G5" s="1" t="s">
        <v>6</v>
      </c>
      <c r="H5" s="1" t="s">
        <v>14</v>
      </c>
      <c r="I5" s="1" t="n">
        <v>6.2</v>
      </c>
      <c r="J5" s="1" t="s">
        <v>4</v>
      </c>
      <c r="K5" s="1" t="s">
        <v>15</v>
      </c>
      <c r="L5" s="15" t="n">
        <v>50</v>
      </c>
      <c r="M5" s="1" t="s">
        <v>16</v>
      </c>
      <c r="N5" s="1" t="s">
        <v>17</v>
      </c>
      <c r="O5" s="15" t="n">
        <v>3</v>
      </c>
      <c r="P5" s="18"/>
      <c r="Q5" s="85"/>
      <c r="R5" s="84"/>
      <c r="S5" s="87"/>
      <c r="T5" s="84"/>
    </row>
    <row r="6" s="1" customFormat="true" ht="12.65" hidden="false" customHeight="false" outlineLevel="0" collapsed="false">
      <c r="B6" s="14" t="s">
        <v>19</v>
      </c>
      <c r="C6" s="15" t="n">
        <v>0.13</v>
      </c>
      <c r="D6" s="1" t="s">
        <v>6</v>
      </c>
      <c r="E6" s="22" t="s">
        <v>20</v>
      </c>
      <c r="F6" s="15" t="n">
        <v>190</v>
      </c>
      <c r="G6" s="1" t="s">
        <v>6</v>
      </c>
      <c r="H6" s="1" t="s">
        <v>21</v>
      </c>
      <c r="I6" s="15" t="n">
        <v>0.045</v>
      </c>
      <c r="J6" s="1" t="s">
        <v>6</v>
      </c>
      <c r="K6" s="2" t="s">
        <v>22</v>
      </c>
      <c r="L6" s="15" t="n">
        <v>2000</v>
      </c>
      <c r="M6" s="1" t="s">
        <v>6</v>
      </c>
      <c r="N6" s="1" t="s">
        <v>23</v>
      </c>
      <c r="O6" s="15" t="n">
        <v>1000000</v>
      </c>
      <c r="P6" s="18"/>
      <c r="Q6" s="85"/>
      <c r="R6" s="84"/>
      <c r="S6" s="87"/>
      <c r="T6" s="84"/>
    </row>
    <row r="7" customFormat="false" ht="12.65" hidden="false" customHeight="false" outlineLevel="0" collapsed="false">
      <c r="B7" s="24" t="s">
        <v>25</v>
      </c>
      <c r="C7" s="25" t="n">
        <v>0.01</v>
      </c>
      <c r="D7" s="1" t="s">
        <v>6</v>
      </c>
      <c r="H7" s="1" t="s">
        <v>26</v>
      </c>
      <c r="I7" s="15" t="n">
        <v>0.2</v>
      </c>
      <c r="J7" s="1" t="s">
        <v>6</v>
      </c>
      <c r="K7" s="2" t="s">
        <v>27</v>
      </c>
      <c r="L7" s="15" t="n">
        <v>150</v>
      </c>
      <c r="M7" s="1" t="s">
        <v>6</v>
      </c>
      <c r="N7" s="26" t="s">
        <v>28</v>
      </c>
      <c r="Q7" s="85"/>
      <c r="R7" s="84"/>
      <c r="S7" s="87"/>
      <c r="T7" s="84"/>
      <c r="U7" s="1"/>
    </row>
    <row r="8" s="1" customFormat="true" ht="12.65" hidden="false" customHeight="false" outlineLevel="0" collapsed="false">
      <c r="B8" s="27" t="s">
        <v>30</v>
      </c>
      <c r="C8" s="27"/>
      <c r="D8" s="28" t="n">
        <f aca="false">2*3.1415928*(1-$L$6/SQRT($L$6*$L$6+$L$7*$L$7))</f>
        <v>0.0175972557789139</v>
      </c>
      <c r="E8" s="14" t="s">
        <v>31</v>
      </c>
      <c r="H8" s="1" t="s">
        <v>32</v>
      </c>
      <c r="I8" s="15" t="n">
        <v>0.025</v>
      </c>
      <c r="J8" s="1" t="s">
        <v>6</v>
      </c>
      <c r="K8" s="26" t="s">
        <v>33</v>
      </c>
      <c r="Q8" s="85"/>
      <c r="R8" s="84"/>
      <c r="S8" s="87"/>
      <c r="T8" s="84"/>
    </row>
    <row r="9" s="1" customFormat="true" ht="12.65" hidden="false" customHeight="false" outlineLevel="0" collapsed="false">
      <c r="B9" s="27" t="s">
        <v>35</v>
      </c>
      <c r="C9" s="27"/>
      <c r="D9" s="28" t="n">
        <f aca="false">2*3.1415928*(1-$L$6/SQRT($L$6*$L$6+$F$6*$F$6))</f>
        <v>0.0281623935406968</v>
      </c>
      <c r="E9" s="14" t="s">
        <v>31</v>
      </c>
      <c r="L9" s="30" t="s">
        <v>36</v>
      </c>
      <c r="M9" s="30"/>
      <c r="N9" s="31" t="n">
        <f aca="false">$L$6*TAN($L$4*PI()/180/3600/2)</f>
        <v>0.0484813681204497</v>
      </c>
      <c r="O9" s="1" t="s">
        <v>6</v>
      </c>
      <c r="Q9" s="85"/>
      <c r="R9" s="84"/>
      <c r="S9" s="87"/>
      <c r="T9" s="84"/>
    </row>
    <row r="10" s="1" customFormat="true" ht="12" hidden="false" customHeight="false" outlineLevel="0" collapsed="false">
      <c r="B10" s="27" t="s">
        <v>38</v>
      </c>
      <c r="C10" s="27"/>
      <c r="D10" s="28" t="n">
        <f aca="false">2*3.1415928-$D$11</f>
        <v>0.00444235809871785</v>
      </c>
      <c r="E10" s="1" t="s">
        <v>31</v>
      </c>
      <c r="F10" s="2"/>
      <c r="G10" s="2"/>
      <c r="H10" s="2"/>
      <c r="I10" s="1" t="s">
        <v>39</v>
      </c>
      <c r="J10" s="31" t="n">
        <f aca="false">3.1415928*$C$6*(3+$F$5-$C$6)*$C$4*$F$4/1000</f>
        <v>9.76044772607861</v>
      </c>
      <c r="K10" s="1" t="s">
        <v>40</v>
      </c>
      <c r="L10" s="30" t="s">
        <v>41</v>
      </c>
      <c r="M10" s="30"/>
      <c r="N10" s="28" t="n">
        <f aca="false">3.1415928*$L$6*TAN($L$4*PI()/180/3600/2)*$L$6*TAN($L$4*PI()/180/3600/2)</f>
        <v>0.00738413497786567</v>
      </c>
      <c r="O10" s="1" t="s">
        <v>42</v>
      </c>
      <c r="Q10" s="84"/>
      <c r="R10" s="85"/>
      <c r="S10" s="85"/>
      <c r="T10" s="84"/>
    </row>
    <row r="11" customFormat="false" ht="12" hidden="false" customHeight="false" outlineLevel="0" collapsed="false">
      <c r="B11" s="27" t="s">
        <v>43</v>
      </c>
      <c r="C11" s="27"/>
      <c r="D11" s="28" t="n">
        <f aca="false">2*3.1415928*$F$4/SQRT($F$4*$F$4+$F$5*$F$5)</f>
        <v>6.27874324190128</v>
      </c>
      <c r="E11" s="1" t="s">
        <v>31</v>
      </c>
      <c r="F11" s="30" t="s">
        <v>44</v>
      </c>
      <c r="G11" s="30"/>
      <c r="H11" s="30"/>
      <c r="I11" s="1" t="s">
        <v>45</v>
      </c>
      <c r="J11" s="31" t="n">
        <f aca="false">3.1415928*($F$6*$F$6-$L$7*$L$7)*$C$7*$C$5/1000</f>
        <v>7.11382273632</v>
      </c>
      <c r="K11" s="1" t="s">
        <v>40</v>
      </c>
      <c r="L11" s="30" t="s">
        <v>46</v>
      </c>
      <c r="M11" s="30"/>
      <c r="N11" s="34" t="n">
        <f aca="false">INT($N$10/$I$8/$I$8)</f>
        <v>11</v>
      </c>
      <c r="Q11" s="84"/>
      <c r="R11" s="85"/>
      <c r="S11" s="85"/>
      <c r="T11" s="84"/>
    </row>
    <row r="12" customFormat="false" ht="12" hidden="false" customHeight="false" outlineLevel="0" collapsed="false">
      <c r="B12" s="27" t="s">
        <v>47</v>
      </c>
      <c r="C12" s="27"/>
      <c r="D12" s="34" t="n">
        <f aca="false">MAX(2*3.1415928-$D$11-$D$9,0)</f>
        <v>0</v>
      </c>
      <c r="E12" s="1" t="s">
        <v>31</v>
      </c>
      <c r="I12" s="1" t="s">
        <v>48</v>
      </c>
      <c r="J12" s="31" t="n">
        <f aca="false">SUM(J10:J11)</f>
        <v>16.8742704623986</v>
      </c>
      <c r="K12" s="1" t="s">
        <v>40</v>
      </c>
      <c r="O12" s="1"/>
      <c r="P12" s="1"/>
    </row>
    <row r="13" customFormat="false" ht="12.75" hidden="false" customHeight="true" outlineLevel="0" collapsed="false">
      <c r="B13" s="38" t="s">
        <v>49</v>
      </c>
      <c r="C13" s="88" t="s">
        <v>79</v>
      </c>
      <c r="D13" s="88" t="s">
        <v>80</v>
      </c>
      <c r="E13" s="88" t="s">
        <v>80</v>
      </c>
      <c r="F13" s="89" t="s">
        <v>81</v>
      </c>
      <c r="G13" s="89" t="s">
        <v>81</v>
      </c>
      <c r="H13" s="90" t="s">
        <v>80</v>
      </c>
      <c r="I13" s="89" t="s">
        <v>80</v>
      </c>
      <c r="J13" s="89" t="s">
        <v>82</v>
      </c>
      <c r="K13" s="38" t="s">
        <v>58</v>
      </c>
      <c r="L13" s="38" t="s">
        <v>59</v>
      </c>
      <c r="M13" s="38" t="s">
        <v>60</v>
      </c>
      <c r="N13" s="38" t="s">
        <v>61</v>
      </c>
      <c r="O13" s="38" t="s">
        <v>62</v>
      </c>
      <c r="P13" s="38"/>
    </row>
    <row r="14" customFormat="false" ht="23.85" hidden="false" customHeight="false" outlineLevel="0" collapsed="false">
      <c r="B14" s="38"/>
      <c r="C14" s="91" t="s">
        <v>83</v>
      </c>
      <c r="D14" s="91" t="s">
        <v>84</v>
      </c>
      <c r="E14" s="91" t="s">
        <v>85</v>
      </c>
      <c r="F14" s="92" t="s">
        <v>86</v>
      </c>
      <c r="G14" s="92" t="s">
        <v>87</v>
      </c>
      <c r="H14" s="93" t="s">
        <v>88</v>
      </c>
      <c r="I14" s="92" t="s">
        <v>89</v>
      </c>
      <c r="J14" s="92" t="s">
        <v>90</v>
      </c>
      <c r="K14" s="38"/>
      <c r="L14" s="38"/>
      <c r="M14" s="38"/>
      <c r="N14" s="38"/>
      <c r="O14" s="38"/>
      <c r="P14" s="38"/>
    </row>
    <row r="15" customFormat="false" ht="12" hidden="false" customHeight="false" outlineLevel="0" collapsed="false">
      <c r="B15" s="20" t="s">
        <v>63</v>
      </c>
      <c r="C15" s="20" t="s">
        <v>64</v>
      </c>
      <c r="D15" s="20" t="s">
        <v>65</v>
      </c>
      <c r="E15" s="20" t="s">
        <v>65</v>
      </c>
      <c r="F15" s="20"/>
      <c r="G15" s="20"/>
      <c r="H15" s="20" t="s">
        <v>65</v>
      </c>
      <c r="I15" s="20" t="s">
        <v>65</v>
      </c>
      <c r="J15" s="20"/>
      <c r="K15" s="41" t="s">
        <v>66</v>
      </c>
      <c r="L15" s="20" t="s">
        <v>67</v>
      </c>
      <c r="M15" s="20" t="s">
        <v>67</v>
      </c>
      <c r="N15" s="20" t="s">
        <v>67</v>
      </c>
      <c r="O15" s="20" t="s">
        <v>68</v>
      </c>
      <c r="P15" s="20" t="s">
        <v>11</v>
      </c>
    </row>
    <row r="16" customFormat="false" ht="12" hidden="false" customHeight="false" outlineLevel="0" collapsed="false">
      <c r="B16" s="50" t="n">
        <v>50</v>
      </c>
      <c r="C16" s="94" t="n">
        <v>3500</v>
      </c>
      <c r="D16" s="51" t="n">
        <v>5.718</v>
      </c>
      <c r="E16" s="58" t="n">
        <v>8.042</v>
      </c>
      <c r="F16" s="51" t="n">
        <f aca="false">EXP(-$C$5*$C$6*E16)</f>
        <v>2.75597627314957E-008</v>
      </c>
      <c r="G16" s="51" t="n">
        <f aca="false">EXP(-1*D16*$C$5*$C$7)</f>
        <v>0.385950174289762</v>
      </c>
      <c r="H16" s="52" t="n">
        <v>0.4385</v>
      </c>
      <c r="I16" s="58" t="n">
        <v>10.67</v>
      </c>
      <c r="J16" s="51" t="n">
        <v>0.998378</v>
      </c>
      <c r="K16" s="54" t="n">
        <f aca="false">MIN(167*POWER(B16,-2.38),11.6*POWER(B16,-1.41))</f>
        <v>0.0151066393385533</v>
      </c>
      <c r="L16" s="55" t="n">
        <f aca="false">K16*$N$10*J16*(MAX(G16*($D$10-$D$8),0)+MAX(G16*F16*($D$9-$D$10),0)+F16*$D$11+$D$12)</f>
        <v>1.92993842066204E-011</v>
      </c>
      <c r="M16" s="55" t="n">
        <f aca="false">$K$120*0.000084*(B16/10)^(-0.45)</f>
        <v>2.48354834893539E-005</v>
      </c>
      <c r="N16" s="55" t="n">
        <f aca="false">L16+M16</f>
        <v>2.48355027887381E-005</v>
      </c>
      <c r="O16" s="56" t="n">
        <f aca="false">100*$O$5*SQRT(N16)/(C16*J16*SQRT(($O$4*B16)*$O$6))/$L$5</f>
        <v>1.71141241269905E-009</v>
      </c>
      <c r="P16" s="49" t="n">
        <f aca="false">O16*B16*B16*0.0000000016021773</f>
        <v>6.8549652964116E-015</v>
      </c>
    </row>
    <row r="17" customFormat="false" ht="12" hidden="false" customHeight="false" outlineLevel="0" collapsed="false">
      <c r="B17" s="50" t="n">
        <f aca="false">B16+6.5</f>
        <v>56.5</v>
      </c>
      <c r="C17" s="94" t="n">
        <v>6800</v>
      </c>
      <c r="D17" s="51" t="n">
        <v>4.164</v>
      </c>
      <c r="E17" s="58" t="n">
        <v>5.859</v>
      </c>
      <c r="F17" s="51" t="n">
        <f aca="false">EXP(-$C$5*$C$6*E17)</f>
        <v>3.10714736090276E-006</v>
      </c>
      <c r="G17" s="51" t="n">
        <f aca="false">EXP(-1*D17*$C$5*$C$7)</f>
        <v>0.499920596585543</v>
      </c>
      <c r="H17" s="52" t="n">
        <v>0.3529</v>
      </c>
      <c r="I17" s="58" t="n">
        <v>7.688</v>
      </c>
      <c r="J17" s="51" t="n">
        <v>0.97818406</v>
      </c>
      <c r="K17" s="54" t="n">
        <f aca="false">MIN(167*POWER(B17,-2.38),11.6*POWER(B17,-1.41))</f>
        <v>0.0112938278959479</v>
      </c>
      <c r="L17" s="55" t="n">
        <f aca="false">K17*$N$10*J17*(MAX(G17*($D$10-$D$8),0)+MAX(G17*F17*($D$9-$D$10),0)+F17*$D$11+$D$12)</f>
        <v>1.59446646659907E-009</v>
      </c>
      <c r="M17" s="55" t="n">
        <f aca="false">$K$120*0.000084*(B17/10)^(-0.45)</f>
        <v>2.350646481216E-005</v>
      </c>
      <c r="N17" s="55" t="n">
        <f aca="false">L17+M17</f>
        <v>2.35080592786266E-005</v>
      </c>
      <c r="O17" s="56" t="n">
        <f aca="false">100*$O$5*SQRT(N17)/(C17*J17*SQRT(($O$4*B17)*$O$6))/$L$5</f>
        <v>8.2285046460435E-010</v>
      </c>
      <c r="P17" s="57" t="n">
        <f aca="false">O17*B17*B17*0.0000000016021773</f>
        <v>4.20851024358579E-015</v>
      </c>
    </row>
    <row r="18" customFormat="false" ht="12" hidden="false" customHeight="false" outlineLevel="0" collapsed="false">
      <c r="B18" s="50" t="n">
        <f aca="false">B17+6.5</f>
        <v>63</v>
      </c>
      <c r="C18" s="94" t="n">
        <v>10100</v>
      </c>
      <c r="D18" s="51" t="n">
        <v>3.15</v>
      </c>
      <c r="E18" s="58" t="n">
        <v>4.428</v>
      </c>
      <c r="F18" s="51" t="n">
        <f aca="false">EXP(-$C$5*$C$6*E18)</f>
        <v>6.87931762745363E-005</v>
      </c>
      <c r="G18" s="51" t="n">
        <f aca="false">EXP(-1*D18*$C$5*$C$7)</f>
        <v>0.5918660124711</v>
      </c>
      <c r="H18" s="52" t="n">
        <v>0.2982</v>
      </c>
      <c r="I18" s="58" t="n">
        <v>5.738</v>
      </c>
      <c r="J18" s="51" t="n">
        <v>0.95799012</v>
      </c>
      <c r="K18" s="54" t="n">
        <f aca="false">MIN(167*POWER(B18,-2.38),11.6*POWER(B18,-1.41))</f>
        <v>0.00871537269287404</v>
      </c>
      <c r="L18" s="55" t="n">
        <f aca="false">K18*$N$10*J18*(MAX(G18*($D$10-$D$8),0)+MAX(G18*F18*($D$9-$D$10),0)+F18*$D$11+$D$12)</f>
        <v>2.66891468577125E-008</v>
      </c>
      <c r="M18" s="55" t="n">
        <f aca="false">$K$120*0.000084*(B18/10)^(-0.45)</f>
        <v>2.23823598518217E-005</v>
      </c>
      <c r="N18" s="55" t="n">
        <f aca="false">L18+M18</f>
        <v>2.24090489986794E-005</v>
      </c>
      <c r="O18" s="56" t="n">
        <f aca="false">100*$O$5*SQRT(N18)/(C18*J18*SQRT(($O$4*B18)*$O$6))/$L$5</f>
        <v>5.23028413698504E-010</v>
      </c>
      <c r="P18" s="57" t="n">
        <f aca="false">O18*B18*B18*0.0000000016021773</f>
        <v>3.32595949492884E-015</v>
      </c>
    </row>
    <row r="19" customFormat="false" ht="12" hidden="false" customHeight="false" outlineLevel="0" collapsed="false">
      <c r="B19" s="50" t="n">
        <f aca="false">B18+6.5</f>
        <v>69.5</v>
      </c>
      <c r="C19" s="94" t="n">
        <v>13400</v>
      </c>
      <c r="D19" s="51" t="n">
        <v>10.9</v>
      </c>
      <c r="E19" s="58" t="n">
        <v>3.446</v>
      </c>
      <c r="F19" s="51" t="n">
        <f aca="false">EXP(-$C$5*$C$6*E19)</f>
        <v>0.000576308759550899</v>
      </c>
      <c r="G19" s="51" t="n">
        <f aca="false">EXP(-1*D19*$C$5*$C$7)</f>
        <v>0.162862335908474</v>
      </c>
      <c r="H19" s="52" t="n">
        <v>0.2613</v>
      </c>
      <c r="I19" s="58" t="n">
        <v>4.405</v>
      </c>
      <c r="J19" s="51" t="n">
        <v>0.93779618</v>
      </c>
      <c r="K19" s="54" t="n">
        <f aca="false">MIN(167*POWER(B19,-2.38),11.6*POWER(B19,-1.41))</f>
        <v>0.00689910311816808</v>
      </c>
      <c r="L19" s="55" t="n">
        <f aca="false">K19*$N$10*J19*(MAX(G19*($D$10-$D$8),0)+MAX(G19*F19*($D$9-$D$10),0)+F19*$D$11+$D$12)</f>
        <v>1.7297995961503E-007</v>
      </c>
      <c r="M19" s="55" t="n">
        <f aca="false">$K$120*0.000084*(B19/10)^(-0.45)</f>
        <v>2.14148954768884E-005</v>
      </c>
      <c r="N19" s="55" t="n">
        <f aca="false">L19+M19</f>
        <v>2.15878754365034E-005</v>
      </c>
      <c r="O19" s="56" t="n">
        <f aca="false">100*$O$5*SQRT(N19)/(C19*J19*SQRT(($O$4*B19)*$O$6))/$L$5</f>
        <v>3.76327139997883E-010</v>
      </c>
      <c r="P19" s="57" t="n">
        <f aca="false">O19*B19*B19*0.0000000016021773</f>
        <v>2.91236446490957E-015</v>
      </c>
    </row>
    <row r="20" customFormat="false" ht="12" hidden="false" customHeight="false" outlineLevel="0" collapsed="false">
      <c r="B20" s="50" t="n">
        <f aca="false">B19+6.5</f>
        <v>76</v>
      </c>
      <c r="C20" s="94" t="n">
        <v>16700</v>
      </c>
      <c r="D20" s="51" t="n">
        <v>8.655</v>
      </c>
      <c r="E20" s="58" t="n">
        <v>2.75</v>
      </c>
      <c r="F20" s="51" t="n">
        <f aca="false">EXP(-$C$5*$C$6*E20)</f>
        <v>0.00259965899064714</v>
      </c>
      <c r="G20" s="51" t="n">
        <f aca="false">EXP(-1*D20*$C$5*$C$7)</f>
        <v>0.236677340009526</v>
      </c>
      <c r="H20" s="52" t="n">
        <v>0.2352</v>
      </c>
      <c r="I20" s="58" t="n">
        <v>3.464</v>
      </c>
      <c r="J20" s="51" t="n">
        <v>0.91760224</v>
      </c>
      <c r="K20" s="54" t="n">
        <f aca="false">MIN(167*POWER(B20,-2.38),11.6*POWER(B20,-1.41))</f>
        <v>0.00557673646012847</v>
      </c>
      <c r="L20" s="55" t="n">
        <f aca="false">K20*$N$10*J20*(MAX(G20*($D$10-$D$8),0)+MAX(G20*F20*($D$9-$D$10),0)+F20*$D$11+$D$12)</f>
        <v>6.17321583221264E-007</v>
      </c>
      <c r="M20" s="55" t="n">
        <f aca="false">$K$120*0.000084*(B20/10)^(-0.45)</f>
        <v>2.05704126811692E-005</v>
      </c>
      <c r="N20" s="55" t="n">
        <f aca="false">L20+M20</f>
        <v>2.11877342643905E-005</v>
      </c>
      <c r="O20" s="56" t="n">
        <f aca="false">100*$O$5*SQRT(N20)/(C20*J20*SQRT(($O$4*B20)*$O$6))/$L$5</f>
        <v>2.92368631247796E-010</v>
      </c>
      <c r="P20" s="57" t="n">
        <f aca="false">O20*B20*B20*0.0000000016021773</f>
        <v>2.70563079523906E-015</v>
      </c>
    </row>
    <row r="21" customFormat="false" ht="12" hidden="false" customHeight="false" outlineLevel="0" collapsed="false">
      <c r="B21" s="50" t="n">
        <f aca="false">B20+6.5</f>
        <v>82.5</v>
      </c>
      <c r="C21" s="94" t="n">
        <v>20000</v>
      </c>
      <c r="D21" s="51" t="n">
        <v>7.014</v>
      </c>
      <c r="E21" s="58" t="n">
        <v>2.241</v>
      </c>
      <c r="F21" s="51" t="n">
        <f aca="false">EXP(-$C$5*$C$6*E21)</f>
        <v>0.00782333378542277</v>
      </c>
      <c r="G21" s="51" t="n">
        <f aca="false">EXP(-1*D21*$C$5*$C$7)</f>
        <v>0.311040857759321</v>
      </c>
      <c r="H21" s="52" t="n">
        <v>0.2161</v>
      </c>
      <c r="I21" s="58" t="n">
        <v>2.78</v>
      </c>
      <c r="J21" s="51" t="n">
        <v>0.8974083</v>
      </c>
      <c r="K21" s="54" t="n">
        <f aca="false">MIN(167*POWER(B21,-2.38),11.6*POWER(B21,-1.41))</f>
        <v>0.00458728870400832</v>
      </c>
      <c r="L21" s="55" t="n">
        <f aca="false">K21*$N$10*J21*(MAX(G21*($D$10-$D$8),0)+MAX(G21*F21*($D$9-$D$10),0)+F21*$D$11+$D$12)</f>
        <v>1.49492838611623E-006</v>
      </c>
      <c r="M21" s="55" t="n">
        <f aca="false">$K$120*0.000084*(B21/10)^(-0.45)</f>
        <v>1.98246187560624E-005</v>
      </c>
      <c r="N21" s="55" t="n">
        <f aca="false">L21+M21</f>
        <v>2.13195471421786E-005</v>
      </c>
      <c r="O21" s="56" t="n">
        <f aca="false">100*$O$5*SQRT(N21)/(C21*J21*SQRT(($O$4*B21)*$O$6))/$L$5</f>
        <v>2.40330109339454E-010</v>
      </c>
      <c r="P21" s="57" t="n">
        <f aca="false">O21*B21*B21*0.0000000016021773</f>
        <v>2.62075640222886E-015</v>
      </c>
    </row>
    <row r="22" customFormat="false" ht="12" hidden="false" customHeight="false" outlineLevel="0" collapsed="false">
      <c r="B22" s="50" t="n">
        <f aca="false">B21+6.5</f>
        <v>89</v>
      </c>
      <c r="C22" s="94" t="n">
        <f aca="false">C21-215</f>
        <v>19785</v>
      </c>
      <c r="D22" s="51" t="n">
        <v>5.783</v>
      </c>
      <c r="E22" s="58" t="n">
        <v>7.466</v>
      </c>
      <c r="F22" s="51" t="n">
        <f aca="false">EXP(-$C$5*$C$6*E22)</f>
        <v>9.58810956634767E-008</v>
      </c>
      <c r="G22" s="51" t="n">
        <f aca="false">EXP(-1*D22*$C$5*$C$7)</f>
        <v>0.381795749707887</v>
      </c>
      <c r="H22" s="52" t="n">
        <v>0.2015</v>
      </c>
      <c r="I22" s="58" t="n">
        <v>2.272</v>
      </c>
      <c r="J22" s="51" t="n">
        <v>0.87721436</v>
      </c>
      <c r="K22" s="54" t="n">
        <f aca="false">MIN(167*POWER(B22,-2.38),11.6*POWER(B22,-1.41))</f>
        <v>0.00382973086863021</v>
      </c>
      <c r="L22" s="55" t="n">
        <f aca="false">K22*$N$10*J22*(MAX(G22*($D$10-$D$8),0)+MAX(G22*F22*($D$9-$D$10),0)+F22*$D$11+$D$12)</f>
        <v>1.49556496960582E-011</v>
      </c>
      <c r="M22" s="55" t="n">
        <f aca="false">$K$120*0.000084*(B22/10)^(-0.45)</f>
        <v>1.91594755970889E-005</v>
      </c>
      <c r="N22" s="55" t="n">
        <f aca="false">L22+M22</f>
        <v>1.91594905527386E-005</v>
      </c>
      <c r="O22" s="56" t="n">
        <f aca="false">100*$O$5*SQRT(N22)/(C22*J22*SQRT(($O$4*B22)*$O$6))/$L$5</f>
        <v>2.26840939002969E-010</v>
      </c>
      <c r="P22" s="57" t="n">
        <f aca="false">O22*B22*B22*0.0000000016021773</f>
        <v>2.87880351259862E-015</v>
      </c>
    </row>
    <row r="23" customFormat="false" ht="12" hidden="false" customHeight="false" outlineLevel="0" collapsed="false">
      <c r="B23" s="50" t="n">
        <f aca="false">B22+6.5</f>
        <v>95.5</v>
      </c>
      <c r="C23" s="94" t="n">
        <f aca="false">C22-215</f>
        <v>19570</v>
      </c>
      <c r="D23" s="51" t="n">
        <v>4.835</v>
      </c>
      <c r="E23" s="58" t="n">
        <v>6.237</v>
      </c>
      <c r="F23" s="51" t="n">
        <f aca="false">EXP(-$C$5*$C$6*E23)</f>
        <v>1.37097759445668E-006</v>
      </c>
      <c r="G23" s="51" t="n">
        <f aca="false">EXP(-1*D23*$C$5*$C$7)</f>
        <v>0.44707563181043</v>
      </c>
      <c r="H23" s="52" t="n">
        <v>0.1901</v>
      </c>
      <c r="I23" s="58" t="n">
        <v>1.886</v>
      </c>
      <c r="J23" s="51" t="n">
        <v>0.85702042</v>
      </c>
      <c r="K23" s="54" t="n">
        <f aca="false">MIN(167*POWER(B23,-2.38),11.6*POWER(B23,-1.41))</f>
        <v>0.0032382356285241</v>
      </c>
      <c r="L23" s="55" t="n">
        <f aca="false">K23*$N$10*J23*(MAX(G23*($D$10-$D$8),0)+MAX(G23*F23*($D$9-$D$10),0)+F23*$D$11+$D$12)</f>
        <v>1.76699458590703E-010</v>
      </c>
      <c r="M23" s="55" t="n">
        <f aca="false">$K$120*0.000084*(B23/10)^(-0.45)</f>
        <v>1.85612663947642E-005</v>
      </c>
      <c r="N23" s="55" t="n">
        <f aca="false">L23+M23</f>
        <v>1.85614430942228E-005</v>
      </c>
      <c r="O23" s="56" t="n">
        <f aca="false">100*$O$5*SQRT(N23)/(C23*J23*SQRT(($O$4*B23)*$O$6))/$L$5</f>
        <v>2.230429168824E-010</v>
      </c>
      <c r="P23" s="57" t="n">
        <f aca="false">O23*B23*B23*0.0000000016021773</f>
        <v>3.25916053957008E-015</v>
      </c>
    </row>
    <row r="24" customFormat="false" ht="12" hidden="false" customHeight="false" outlineLevel="0" collapsed="false">
      <c r="B24" s="50" t="n">
        <f aca="false">B23+6.5</f>
        <v>102</v>
      </c>
      <c r="C24" s="94" t="n">
        <f aca="false">C23-215</f>
        <v>19355</v>
      </c>
      <c r="D24" s="51" t="n">
        <v>4.089</v>
      </c>
      <c r="E24" s="58" t="n">
        <v>5.278</v>
      </c>
      <c r="F24" s="51" t="n">
        <f aca="false">EXP(-$C$5*$C$6*E24)</f>
        <v>1.09274673291071E-005</v>
      </c>
      <c r="G24" s="51" t="n">
        <f aca="false">EXP(-1*D24*$C$5*$C$7)</f>
        <v>0.506202496013111</v>
      </c>
      <c r="H24" s="52" t="n">
        <v>0.1809</v>
      </c>
      <c r="I24" s="58" t="n">
        <v>1.587</v>
      </c>
      <c r="J24" s="51" t="n">
        <v>0.82868944</v>
      </c>
      <c r="K24" s="54" t="n">
        <f aca="false">MIN(167*POWER(B24,-2.38),11.6*POWER(B24,-1.41))</f>
        <v>0.00276852253153293</v>
      </c>
      <c r="L24" s="55" t="n">
        <f aca="false">K24*$N$10*J24*(MAX(G24*($D$10-$D$8),0)+MAX(G24*F24*($D$9-$D$10),0)+F24*$D$11+$D$12)</f>
        <v>1.1645589118587E-009</v>
      </c>
      <c r="M24" s="55" t="n">
        <f aca="false">$K$120*0.000084*(B24/10)^(-0.45)</f>
        <v>1.80193467997728E-005</v>
      </c>
      <c r="N24" s="55" t="n">
        <f aca="false">L24+M24</f>
        <v>1.80205113586847E-005</v>
      </c>
      <c r="O24" s="56" t="n">
        <f aca="false">100*$O$5*SQRT(N24)/(C24*J24*SQRT(($O$4*B24)*$O$6))/$L$5</f>
        <v>2.22364132893247E-010</v>
      </c>
      <c r="P24" s="57" t="n">
        <f aca="false">O24*B24*B24*0.0000000016021773</f>
        <v>3.70659943404396E-015</v>
      </c>
    </row>
    <row r="25" customFormat="false" ht="12" hidden="false" customHeight="false" outlineLevel="0" collapsed="false">
      <c r="B25" s="50" t="n">
        <f aca="false">B24+6.5</f>
        <v>108.5</v>
      </c>
      <c r="C25" s="94" t="n">
        <f aca="false">C24-215</f>
        <v>19140</v>
      </c>
      <c r="D25" s="51" t="n">
        <v>3.492</v>
      </c>
      <c r="E25" s="58" t="n">
        <v>4.516</v>
      </c>
      <c r="F25" s="51" t="n">
        <f aca="false">EXP(-$C$5*$C$6*E25)</f>
        <v>5.68620726837934E-005</v>
      </c>
      <c r="G25" s="51" t="n">
        <f aca="false">EXP(-1*D25*$C$5*$C$7)</f>
        <v>0.559104993316184</v>
      </c>
      <c r="H25" s="52" t="n">
        <v>0.1734</v>
      </c>
      <c r="I25" s="58" t="n">
        <v>1.352</v>
      </c>
      <c r="J25" s="51" t="n">
        <v>0.78205012</v>
      </c>
      <c r="K25" s="54" t="n">
        <f aca="false">MIN(167*POWER(B25,-2.38),11.6*POWER(B25,-1.41))</f>
        <v>0.00238997685000294</v>
      </c>
      <c r="L25" s="55" t="n">
        <f aca="false">K25*$N$10*J25*(MAX(G25*($D$10-$D$8),0)+MAX(G25*F25*($D$9-$D$10),0)+F25*$D$11+$D$12)</f>
        <v>4.93787019604488E-009</v>
      </c>
      <c r="M25" s="55" t="n">
        <f aca="false">$K$120*0.000084*(B25/10)^(-0.45)</f>
        <v>1.75253112137106E-005</v>
      </c>
      <c r="N25" s="55" t="n">
        <f aca="false">L25+M25</f>
        <v>1.75302490839066E-005</v>
      </c>
      <c r="O25" s="56" t="n">
        <f aca="false">100*$O$5*SQRT(N25)/(C25*J25*SQRT(($O$4*B25)*$O$6))/$L$5</f>
        <v>2.27860424513635E-010</v>
      </c>
      <c r="P25" s="57" t="n">
        <f aca="false">O25*B25*B25*0.0000000016021773</f>
        <v>4.29772826655215E-015</v>
      </c>
    </row>
    <row r="26" customFormat="false" ht="12" hidden="false" customHeight="false" outlineLevel="0" collapsed="false">
      <c r="B26" s="50" t="n">
        <f aca="false">B25+6.5</f>
        <v>115</v>
      </c>
      <c r="C26" s="94" t="n">
        <f aca="false">C25-215</f>
        <v>18925</v>
      </c>
      <c r="D26" s="51" t="n">
        <v>3.008</v>
      </c>
      <c r="E26" s="58" t="n">
        <v>3.902</v>
      </c>
      <c r="F26" s="51" t="n">
        <f aca="false">EXP(-$C$5*$C$6*E26)</f>
        <v>0.000214783717773933</v>
      </c>
      <c r="G26" s="51" t="n">
        <f aca="false">EXP(-1*D26*$C$5*$C$7)</f>
        <v>0.606026236073085</v>
      </c>
      <c r="H26" s="52" t="n">
        <v>0.1671</v>
      </c>
      <c r="I26" s="58" t="n">
        <v>1.165</v>
      </c>
      <c r="J26" s="51" t="n">
        <v>0.7354108</v>
      </c>
      <c r="K26" s="54" t="n">
        <f aca="false">MIN(167*POWER(B26,-2.38),11.6*POWER(B26,-1.41))</f>
        <v>0.0020809210868191</v>
      </c>
      <c r="L26" s="55" t="n">
        <f aca="false">K26*$N$10*J26*(MAX(G26*($D$10-$D$8),0)+MAX(G26*F26*($D$9-$D$10),0)+F26*$D$11+$D$12)</f>
        <v>1.52739894446125E-008</v>
      </c>
      <c r="M26" s="55" t="n">
        <f aca="false">$K$120*0.000084*(B26/10)^(-0.45)</f>
        <v>1.70724202589654E-005</v>
      </c>
      <c r="N26" s="55" t="n">
        <f aca="false">L26+M26</f>
        <v>1.708769424841E-005</v>
      </c>
      <c r="O26" s="56" t="n">
        <f aca="false">100*$O$5*SQRT(N26)/(C26*J26*SQRT(($O$4*B26)*$O$6))/$L$5</f>
        <v>2.35013693873445E-010</v>
      </c>
      <c r="P26" s="57" t="n">
        <f aca="false">O26*B26*B26*0.0000000016021773</f>
        <v>4.97965693291184E-015</v>
      </c>
    </row>
    <row r="27" customFormat="false" ht="12" hidden="false" customHeight="false" outlineLevel="0" collapsed="false">
      <c r="B27" s="50" t="n">
        <f aca="false">B26+6.5</f>
        <v>121.5</v>
      </c>
      <c r="C27" s="94" t="n">
        <f aca="false">C26-215</f>
        <v>18710</v>
      </c>
      <c r="D27" s="51" t="n">
        <v>2.613</v>
      </c>
      <c r="E27" s="58" t="n">
        <v>3.401</v>
      </c>
      <c r="F27" s="51" t="n">
        <f aca="false">EXP(-$C$5*$C$6*E27)</f>
        <v>0.000635267428808167</v>
      </c>
      <c r="G27" s="51" t="n">
        <f aca="false">EXP(-1*D27*$C$5*$C$7)</f>
        <v>0.647222919853371</v>
      </c>
      <c r="H27" s="52" t="n">
        <v>0.1617</v>
      </c>
      <c r="I27" s="58" t="n">
        <v>1.014</v>
      </c>
      <c r="J27" s="51" t="n">
        <v>0.68877148</v>
      </c>
      <c r="K27" s="54" t="n">
        <f aca="false">MIN(167*POWER(B27,-2.38),11.6*POWER(B27,-1.41))</f>
        <v>0.00182568114215679</v>
      </c>
      <c r="L27" s="55" t="n">
        <f aca="false">K27*$N$10*J27*(MAX(G27*($D$10-$D$8),0)+MAX(G27*F27*($D$9-$D$10),0)+F27*$D$11+$D$12)</f>
        <v>3.71269798254438E-008</v>
      </c>
      <c r="M27" s="55" t="n">
        <f aca="false">$K$120*0.000084*(B27/10)^(-0.45)</f>
        <v>1.66551978455693E-005</v>
      </c>
      <c r="N27" s="55" t="n">
        <f aca="false">L27+M27</f>
        <v>1.66923248253947E-005</v>
      </c>
      <c r="O27" s="56" t="n">
        <f aca="false">100*$O$5*SQRT(N27)/(C27*J27*SQRT(($O$4*B27)*$O$6))/$L$5</f>
        <v>2.44054926880232E-010</v>
      </c>
      <c r="P27" s="57" t="n">
        <f aca="false">O27*B27*B27*0.0000000016021773</f>
        <v>5.77232412704141E-015</v>
      </c>
    </row>
    <row r="28" customFormat="false" ht="12" hidden="false" customHeight="false" outlineLevel="0" collapsed="false">
      <c r="B28" s="50" t="n">
        <f aca="false">B27+6.5</f>
        <v>128</v>
      </c>
      <c r="C28" s="94" t="n">
        <f aca="false">C27-215</f>
        <v>18495</v>
      </c>
      <c r="D28" s="51" t="n">
        <v>2.288</v>
      </c>
      <c r="E28" s="58" t="n">
        <v>2.986</v>
      </c>
      <c r="F28" s="51" t="n">
        <f aca="false">EXP(-$C$5*$C$6*E28)</f>
        <v>0.00155980104673202</v>
      </c>
      <c r="G28" s="51" t="n">
        <f aca="false">EXP(-1*D28*$C$5*$C$7)</f>
        <v>0.683210682945635</v>
      </c>
      <c r="H28" s="52" t="n">
        <v>0.157</v>
      </c>
      <c r="I28" s="58" t="n">
        <v>0.89</v>
      </c>
      <c r="J28" s="51" t="n">
        <v>0.64213216</v>
      </c>
      <c r="K28" s="54" t="n">
        <f aca="false">MIN(167*POWER(B28,-2.38),11.6*POWER(B28,-1.41))</f>
        <v>0.00161271172480039</v>
      </c>
      <c r="L28" s="55" t="n">
        <f aca="false">K28*$N$10*J28*(MAX(G28*($D$10-$D$8),0)+MAX(G28*F28*($D$9-$D$10),0)+F28*$D$11+$D$12)</f>
        <v>7.50831036532083E-008</v>
      </c>
      <c r="M28" s="55" t="n">
        <f aca="false">$K$120*0.000084*(B28/10)^(-0.45)</f>
        <v>1.6269141436549E-005</v>
      </c>
      <c r="N28" s="55" t="n">
        <f aca="false">L28+M28</f>
        <v>1.63442245402022E-005</v>
      </c>
      <c r="O28" s="56" t="n">
        <f aca="false">100*$O$5*SQRT(N28)/(C28*J28*SQRT(($O$4*B28)*$O$6))/$L$5</f>
        <v>2.55308142842316E-010</v>
      </c>
      <c r="P28" s="57" t="n">
        <f aca="false">O28*B28*B28*0.0000000016021773</f>
        <v>6.70185735728524E-015</v>
      </c>
    </row>
    <row r="29" customFormat="false" ht="12" hidden="false" customHeight="false" outlineLevel="0" collapsed="false">
      <c r="B29" s="50" t="n">
        <f aca="false">B28+6.5</f>
        <v>134.5</v>
      </c>
      <c r="C29" s="94" t="n">
        <f aca="false">C28-215</f>
        <v>18280</v>
      </c>
      <c r="D29" s="51" t="n">
        <v>2.016</v>
      </c>
      <c r="E29" s="58" t="n">
        <v>2.64</v>
      </c>
      <c r="F29" s="51" t="n">
        <f aca="false">EXP(-$C$5*$C$6*E29)</f>
        <v>0.00329852460459727</v>
      </c>
      <c r="G29" s="51" t="n">
        <f aca="false">EXP(-1*D29*$C$5*$C$7)</f>
        <v>0.714863259523175</v>
      </c>
      <c r="H29" s="52" t="n">
        <v>0.1529</v>
      </c>
      <c r="I29" s="58" t="n">
        <v>0.788</v>
      </c>
      <c r="J29" s="51" t="n">
        <v>0.59549284</v>
      </c>
      <c r="K29" s="54" t="n">
        <f aca="false">MIN(167*POWER(B29,-2.38),11.6*POWER(B29,-1.41))</f>
        <v>0.00143336710829308</v>
      </c>
      <c r="L29" s="55" t="n">
        <f aca="false">K29*$N$10*J29*(MAX(G29*($D$10-$D$8),0)+MAX(G29*F29*($D$9-$D$10),0)+F29*$D$11+$D$12)</f>
        <v>1.30887250891533E-007</v>
      </c>
      <c r="M29" s="55" t="n">
        <f aca="false">$K$120*0.000084*(B29/10)^(-0.45)</f>
        <v>1.59105097161556E-005</v>
      </c>
      <c r="N29" s="55" t="n">
        <f aca="false">L29+M29</f>
        <v>1.60413969670471E-005</v>
      </c>
      <c r="O29" s="56" t="n">
        <f aca="false">100*$O$5*SQRT(N29)/(C29*J29*SQRT(($O$4*B29)*$O$6))/$L$5</f>
        <v>2.69199013281165E-010</v>
      </c>
      <c r="P29" s="57" t="n">
        <f aca="false">O29*B29*B29*0.0000000016021773</f>
        <v>7.80240710418725E-015</v>
      </c>
    </row>
    <row r="30" customFormat="false" ht="12" hidden="false" customHeight="false" outlineLevel="0" collapsed="false">
      <c r="B30" s="50" t="n">
        <f aca="false">B29+6.5</f>
        <v>141</v>
      </c>
      <c r="C30" s="94" t="n">
        <f aca="false">C29-215</f>
        <v>18065</v>
      </c>
      <c r="D30" s="51" t="n">
        <v>1.789</v>
      </c>
      <c r="E30" s="58" t="n">
        <v>2.348</v>
      </c>
      <c r="F30" s="51" t="n">
        <f aca="false">EXP(-$C$5*$C$6*E30)</f>
        <v>0.00620595477676939</v>
      </c>
      <c r="G30" s="51" t="n">
        <f aca="false">EXP(-1*D30*$C$5*$C$7)</f>
        <v>0.742398958792263</v>
      </c>
      <c r="H30" s="52" t="n">
        <v>0.1493</v>
      </c>
      <c r="I30" s="58" t="n">
        <v>0.7031</v>
      </c>
      <c r="J30" s="51" t="n">
        <v>0.54885352</v>
      </c>
      <c r="K30" s="54" t="n">
        <f aca="false">MIN(167*POWER(B30,-2.38),11.6*POWER(B30,-1.41))</f>
        <v>0.00128107625941105</v>
      </c>
      <c r="L30" s="55" t="n">
        <f aca="false">K30*$N$10*J30*(MAX(G30*($D$10-$D$8),0)+MAX(G30*F30*($D$9-$D$10),0)+F30*$D$11+$D$12)</f>
        <v>2.02875095180854E-007</v>
      </c>
      <c r="M30" s="55" t="n">
        <f aca="false">$K$120*0.000084*(B30/10)^(-0.45)</f>
        <v>1.55761643297818E-005</v>
      </c>
      <c r="N30" s="55" t="n">
        <f aca="false">L30+M30</f>
        <v>1.57790394249627E-005</v>
      </c>
      <c r="O30" s="56" t="n">
        <f aca="false">100*$O$5*SQRT(N30)/(C30*J30*SQRT(($O$4*B30)*$O$6))/$L$5</f>
        <v>2.86287609882061E-010</v>
      </c>
      <c r="P30" s="57" t="n">
        <f aca="false">O30*B30*B30*0.0000000016021773</f>
        <v>9.11908685881679E-015</v>
      </c>
    </row>
    <row r="31" customFormat="false" ht="12" hidden="false" customHeight="false" outlineLevel="0" collapsed="false">
      <c r="B31" s="50" t="n">
        <f aca="false">B30+6.5</f>
        <v>147.5</v>
      </c>
      <c r="C31" s="94" t="n">
        <f aca="false">C30-215</f>
        <v>17850</v>
      </c>
      <c r="D31" s="51" t="n">
        <v>1.597</v>
      </c>
      <c r="E31" s="58" t="n">
        <v>2.1</v>
      </c>
      <c r="F31" s="51" t="n">
        <f aca="false">EXP(-$C$5*$C$6*E31)</f>
        <v>0.0106153947136612</v>
      </c>
      <c r="G31" s="51" t="n">
        <f aca="false">EXP(-1*D31*$C$5*$C$7)</f>
        <v>0.766515391988301</v>
      </c>
      <c r="H31" s="52" t="n">
        <v>0.146</v>
      </c>
      <c r="I31" s="58" t="n">
        <v>0.6316</v>
      </c>
      <c r="J31" s="51" t="n">
        <v>0.5022142</v>
      </c>
      <c r="K31" s="54" t="n">
        <f aca="false">MIN(167*POWER(B31,-2.38),11.6*POWER(B31,-1.41))</f>
        <v>0.00115077776715871</v>
      </c>
      <c r="L31" s="55" t="n">
        <f aca="false">K31*$N$10*J31*(MAX(G31*($D$10-$D$8),0)+MAX(G31*F31*($D$9-$D$10),0)+F31*$D$11+$D$12)</f>
        <v>2.85262541084555E-007</v>
      </c>
      <c r="M31" s="55" t="n">
        <f aca="false">$K$120*0.000084*(B31/10)^(-0.45)</f>
        <v>1.52634501253576E-005</v>
      </c>
      <c r="N31" s="55" t="n">
        <f aca="false">L31+M31</f>
        <v>1.55487126664422E-005</v>
      </c>
      <c r="O31" s="56" t="n">
        <f aca="false">100*$O$5*SQRT(N31)/(C31*J31*SQRT(($O$4*B31)*$O$6))/$L$5</f>
        <v>3.07319592396609E-010</v>
      </c>
      <c r="P31" s="57" t="n">
        <f aca="false">O31*B31*B31*0.0000000016021773</f>
        <v>1.07123527044998E-014</v>
      </c>
    </row>
    <row r="32" customFormat="false" ht="12" hidden="false" customHeight="false" outlineLevel="0" collapsed="false">
      <c r="B32" s="50" t="n">
        <f aca="false">B31+6.5</f>
        <v>154</v>
      </c>
      <c r="C32" s="94" t="n">
        <f aca="false">C31-215</f>
        <v>17635</v>
      </c>
      <c r="D32" s="51" t="n">
        <v>1.433</v>
      </c>
      <c r="E32" s="58" t="n">
        <v>1.888</v>
      </c>
      <c r="F32" s="51" t="n">
        <f aca="false">EXP(-$C$5*$C$6*E32)</f>
        <v>0.0167966469298851</v>
      </c>
      <c r="G32" s="51" t="n">
        <f aca="false">EXP(-1*D32*$C$5*$C$7)</f>
        <v>0.787734243853654</v>
      </c>
      <c r="H32" s="52" t="n">
        <v>0.143</v>
      </c>
      <c r="I32" s="58" t="n">
        <v>0.5712</v>
      </c>
      <c r="J32" s="51" t="n">
        <v>0.4693976</v>
      </c>
      <c r="K32" s="54" t="n">
        <f aca="false">MIN(167*POWER(B32,-2.38),11.6*POWER(B32,-1.41))</f>
        <v>0.00103852547816579</v>
      </c>
      <c r="L32" s="55" t="n">
        <f aca="false">K32*$N$10*J32*(MAX(G32*($D$10-$D$8),0)+MAX(G32*F32*($D$9-$D$10),0)+F32*$D$11+$D$12)</f>
        <v>3.80753122556432E-007</v>
      </c>
      <c r="M32" s="55" t="n">
        <f aca="false">$K$120*0.000084*(B32/10)^(-0.45)</f>
        <v>1.49701032837483E-005</v>
      </c>
      <c r="N32" s="55" t="n">
        <f aca="false">L32+M32</f>
        <v>1.53508564063047E-005</v>
      </c>
      <c r="O32" s="56" t="n">
        <f aca="false">100*$O$5*SQRT(N32)/(C32*J32*SQRT(($O$4*B32)*$O$6))/$L$5</f>
        <v>3.23635283743007E-010</v>
      </c>
      <c r="P32" s="57" t="n">
        <f aca="false">O32*B32*B32*0.0000000016021773</f>
        <v>1.22972465283644E-014</v>
      </c>
    </row>
    <row r="33" customFormat="false" ht="12" hidden="false" customHeight="false" outlineLevel="0" collapsed="false">
      <c r="B33" s="50" t="n">
        <f aca="false">B32+6.5</f>
        <v>160.5</v>
      </c>
      <c r="C33" s="94" t="n">
        <f aca="false">C32-215</f>
        <v>17420</v>
      </c>
      <c r="D33" s="51" t="n">
        <v>1.293</v>
      </c>
      <c r="E33" s="58" t="n">
        <v>1.704</v>
      </c>
      <c r="F33" s="51" t="n">
        <f aca="false">EXP(-$C$5*$C$6*E33)</f>
        <v>0.0250142904356236</v>
      </c>
      <c r="G33" s="51" t="n">
        <f aca="false">EXP(-1*D33*$C$5*$C$7)</f>
        <v>0.806312011775334</v>
      </c>
      <c r="H33" s="52" t="n">
        <v>0.1403</v>
      </c>
      <c r="I33" s="58" t="n">
        <v>0.5195</v>
      </c>
      <c r="J33" s="51" t="n">
        <v>0.4452202</v>
      </c>
      <c r="K33" s="54" t="n">
        <f aca="false">MIN(167*POWER(B33,-2.38),11.6*POWER(B33,-1.41))</f>
        <v>0.000941208593393874</v>
      </c>
      <c r="L33" s="55" t="n">
        <f aca="false">K33*$N$10*J33*(MAX(G33*($D$10-$D$8),0)+MAX(G33*F33*($D$9-$D$10),0)+F33*$D$11+$D$12)</f>
        <v>4.87463588295412E-007</v>
      </c>
      <c r="M33" s="55" t="n">
        <f aca="false">$K$120*0.000084*(B33/10)^(-0.45)</f>
        <v>1.46941799661791E-005</v>
      </c>
      <c r="N33" s="55" t="n">
        <f aca="false">L33+M33</f>
        <v>1.51816435544745E-005</v>
      </c>
      <c r="O33" s="56" t="n">
        <f aca="false">100*$O$5*SQRT(N33)/(C33*J33*SQRT(($O$4*B33)*$O$6))/$L$5</f>
        <v>3.3648453919511E-010</v>
      </c>
      <c r="P33" s="57" t="n">
        <f aca="false">O33*B33*B33*0.0000000016021773</f>
        <v>1.38875540362363E-014</v>
      </c>
    </row>
    <row r="34" customFormat="false" ht="12" hidden="false" customHeight="false" outlineLevel="0" collapsed="false">
      <c r="B34" s="50" t="n">
        <f aca="false">B33+6.5</f>
        <v>167</v>
      </c>
      <c r="C34" s="94" t="n">
        <f aca="false">C33-215</f>
        <v>17205</v>
      </c>
      <c r="D34" s="51" t="n">
        <v>1.173</v>
      </c>
      <c r="E34" s="58" t="n">
        <v>1.546</v>
      </c>
      <c r="F34" s="51" t="n">
        <f aca="false">EXP(-$C$5*$C$6*E34)</f>
        <v>0.0352138080200594</v>
      </c>
      <c r="G34" s="51" t="n">
        <f aca="false">EXP(-1*D34*$C$5*$C$7)</f>
        <v>0.822584143045486</v>
      </c>
      <c r="H34" s="52" t="n">
        <v>0.1378</v>
      </c>
      <c r="I34" s="58" t="n">
        <v>0.4752</v>
      </c>
      <c r="J34" s="51" t="n">
        <v>0.4210428</v>
      </c>
      <c r="K34" s="54" t="n">
        <f aca="false">MIN(167*POWER(B34,-2.38),11.6*POWER(B34,-1.41))</f>
        <v>0.000856349936416678</v>
      </c>
      <c r="L34" s="55" t="n">
        <f aca="false">K34*$N$10*J34*(MAX(G34*($D$10-$D$8),0)+MAX(G34*F34*($D$9-$D$10),0)+F34*$D$11+$D$12)</f>
        <v>5.90487042147783E-007</v>
      </c>
      <c r="M34" s="55" t="n">
        <f aca="false">$K$120*0.000084*(B34/10)^(-0.45)</f>
        <v>1.44340002690243E-005</v>
      </c>
      <c r="N34" s="55" t="n">
        <f aca="false">L34+M34</f>
        <v>1.50244873111721E-005</v>
      </c>
      <c r="O34" s="56" t="n">
        <f aca="false">100*$O$5*SQRT(N34)/(C34*J34*SQRT(($O$4*B34)*$O$6))/$L$5</f>
        <v>3.51339453292054E-010</v>
      </c>
      <c r="P34" s="57" t="n">
        <f aca="false">O34*B34*B34*0.0000000016021773</f>
        <v>1.56989439077212E-014</v>
      </c>
    </row>
    <row r="35" customFormat="false" ht="12" hidden="false" customHeight="false" outlineLevel="0" collapsed="false">
      <c r="B35" s="50" t="n">
        <f aca="false">B34+6.5</f>
        <v>173.5</v>
      </c>
      <c r="C35" s="94" t="n">
        <f aca="false">C34-215</f>
        <v>16990</v>
      </c>
      <c r="D35" s="51" t="n">
        <v>1.068</v>
      </c>
      <c r="E35" s="58" t="n">
        <v>1.408</v>
      </c>
      <c r="F35" s="51" t="n">
        <f aca="false">EXP(-$C$5*$C$6*E35)</f>
        <v>0.0474719627550819</v>
      </c>
      <c r="G35" s="51" t="n">
        <f aca="false">EXP(-1*D35*$C$5*$C$7)</f>
        <v>0.837091412499778</v>
      </c>
      <c r="H35" s="52" t="n">
        <v>0.1355</v>
      </c>
      <c r="I35" s="58" t="n">
        <v>0.4369</v>
      </c>
      <c r="J35" s="51" t="n">
        <v>0.3968654</v>
      </c>
      <c r="K35" s="54" t="n">
        <f aca="false">MIN(167*POWER(B35,-2.38),11.6*POWER(B35,-1.41))</f>
        <v>0.000781958510757234</v>
      </c>
      <c r="L35" s="55" t="n">
        <f aca="false">K35*$N$10*J35*(MAX(G35*($D$10-$D$8),0)+MAX(G35*F35*($D$9-$D$10),0)+F35*$D$11+$D$12)</f>
        <v>6.85184813389708E-007</v>
      </c>
      <c r="M35" s="55" t="n">
        <f aca="false">$K$120*0.000084*(B35/10)^(-0.45)</f>
        <v>1.41881037464456E-005</v>
      </c>
      <c r="N35" s="55" t="n">
        <f aca="false">L35+M35</f>
        <v>1.48732885598353E-005</v>
      </c>
      <c r="O35" s="56" t="n">
        <f aca="false">100*$O$5*SQRT(N35)/(C35*J35*SQRT(($O$4*B35)*$O$6))/$L$5</f>
        <v>3.68454100690658E-010</v>
      </c>
      <c r="P35" s="57" t="n">
        <f aca="false">O35*B35*B35*0.0000000016021773</f>
        <v>1.7770225005968E-014</v>
      </c>
    </row>
    <row r="36" customFormat="false" ht="12" hidden="false" customHeight="false" outlineLevel="0" collapsed="false">
      <c r="B36" s="50" t="n">
        <f aca="false">B35+6.5</f>
        <v>180</v>
      </c>
      <c r="C36" s="94" t="n">
        <f aca="false">C35-215</f>
        <v>16775</v>
      </c>
      <c r="D36" s="51" t="n">
        <v>0.9768</v>
      </c>
      <c r="E36" s="58" t="n">
        <v>1.287</v>
      </c>
      <c r="F36" s="51" t="n">
        <f aca="false">EXP(-$C$5*$C$6*E36)</f>
        <v>0.0616851844050361</v>
      </c>
      <c r="G36" s="51" t="n">
        <f aca="false">EXP(-1*D36*$C$5*$C$7)</f>
        <v>0.849899476017737</v>
      </c>
      <c r="H36" s="52" t="n">
        <v>0.1334</v>
      </c>
      <c r="I36" s="58" t="n">
        <v>0.4035</v>
      </c>
      <c r="J36" s="51" t="n">
        <v>0.372688</v>
      </c>
      <c r="K36" s="54" t="n">
        <f aca="false">MIN(167*POWER(B36,-2.38),11.6*POWER(B36,-1.41))</f>
        <v>0.000716420342521096</v>
      </c>
      <c r="L36" s="55" t="n">
        <f aca="false">K36*$N$10*J36*(MAX(G36*($D$10-$D$8),0)+MAX(G36*F36*($D$9-$D$10),0)+F36*$D$11+$D$12)</f>
        <v>7.66052836859321E-007</v>
      </c>
      <c r="M36" s="55" t="n">
        <f aca="false">$K$120*0.000084*(B36/10)^(-0.45)</f>
        <v>1.39552137781006E-005</v>
      </c>
      <c r="N36" s="55" t="n">
        <f aca="false">L36+M36</f>
        <v>1.47212666149599E-005</v>
      </c>
      <c r="O36" s="56" t="n">
        <f aca="false">100*$O$5*SQRT(N36)/(C36*J36*SQRT(($O$4*B36)*$O$6))/$L$5</f>
        <v>3.88145581416447E-010</v>
      </c>
      <c r="P36" s="57" t="n">
        <f aca="false">O36*B36*B36*0.0000000016021773</f>
        <v>2.01488484843597E-014</v>
      </c>
    </row>
    <row r="37" customFormat="false" ht="12" hidden="false" customHeight="false" outlineLevel="0" collapsed="false">
      <c r="B37" s="50" t="n">
        <f aca="false">B36+6.5</f>
        <v>186.5</v>
      </c>
      <c r="C37" s="94" t="n">
        <f aca="false">C36-215</f>
        <v>16560</v>
      </c>
      <c r="D37" s="51" t="n">
        <v>0.8969</v>
      </c>
      <c r="E37" s="58" t="n">
        <v>1.181</v>
      </c>
      <c r="F37" s="51" t="n">
        <f aca="false">EXP(-$C$5*$C$6*E37)</f>
        <v>0.0775932763904326</v>
      </c>
      <c r="G37" s="51" t="n">
        <f aca="false">EXP(-1*D37*$C$5*$C$7)</f>
        <v>0.861281528058054</v>
      </c>
      <c r="H37" s="52" t="n">
        <v>0.1314</v>
      </c>
      <c r="I37" s="58" t="n">
        <v>0.3744</v>
      </c>
      <c r="J37" s="51" t="n">
        <v>0.3485106</v>
      </c>
      <c r="K37" s="54" t="n">
        <f aca="false">MIN(167*POWER(B37,-2.38),11.6*POWER(B37,-1.41))</f>
        <v>0.000658416705135771</v>
      </c>
      <c r="L37" s="55" t="n">
        <f aca="false">K37*$N$10*J37*(MAX(G37*($D$10-$D$8),0)+MAX(G37*F37*($D$9-$D$10),0)+F37*$D$11+$D$12)</f>
        <v>8.28178738912427E-007</v>
      </c>
      <c r="M37" s="55" t="n">
        <f aca="false">$K$120*0.000084*(B37/10)^(-0.45)</f>
        <v>1.37342087733517E-005</v>
      </c>
      <c r="N37" s="55" t="n">
        <f aca="false">L37+M37</f>
        <v>1.45623875122641E-005</v>
      </c>
      <c r="O37" s="56" t="n">
        <f aca="false">100*$O$5*SQRT(N37)/(C37*J37*SQRT(($O$4*B37)*$O$6))/$L$5</f>
        <v>4.10834397116067E-010</v>
      </c>
      <c r="P37" s="57" t="n">
        <f aca="false">O37*B37*B37*0.0000000016021773</f>
        <v>2.28947045956996E-014</v>
      </c>
    </row>
    <row r="38" customFormat="false" ht="12" hidden="false" customHeight="false" outlineLevel="0" collapsed="false">
      <c r="B38" s="50" t="n">
        <f aca="false">B37+6.5</f>
        <v>193</v>
      </c>
      <c r="C38" s="94" t="n">
        <f aca="false">C37-215</f>
        <v>16345</v>
      </c>
      <c r="D38" s="51" t="n">
        <v>0.8266</v>
      </c>
      <c r="E38" s="58" t="n">
        <v>1.087</v>
      </c>
      <c r="F38" s="51" t="n">
        <f aca="false">EXP(-$C$5*$C$6*E38)</f>
        <v>0.0951014083872971</v>
      </c>
      <c r="G38" s="51" t="n">
        <f aca="false">EXP(-1*D38*$C$5*$C$7)</f>
        <v>0.871422016459495</v>
      </c>
      <c r="H38" s="52" t="n">
        <v>0.1295</v>
      </c>
      <c r="I38" s="58" t="n">
        <v>0.3488</v>
      </c>
      <c r="J38" s="51" t="n">
        <v>0.3243332</v>
      </c>
      <c r="K38" s="54" t="n">
        <f aca="false">MIN(167*POWER(B38,-2.38),11.6*POWER(B38,-1.41))</f>
        <v>0.000606862183992389</v>
      </c>
      <c r="L38" s="55" t="n">
        <f aca="false">K38*$N$10*J38*(MAX(G38*($D$10-$D$8),0)+MAX(G38*F38*($D$9-$D$10),0)+F38*$D$11+$D$12)</f>
        <v>8.70699245650567E-007</v>
      </c>
      <c r="M38" s="55" t="n">
        <f aca="false">$K$120*0.000084*(B38/10)^(-0.45)</f>
        <v>1.35240987123475E-005</v>
      </c>
      <c r="N38" s="55" t="n">
        <f aca="false">L38+M38</f>
        <v>1.43947979579981E-005</v>
      </c>
      <c r="O38" s="56" t="n">
        <f aca="false">100*$O$5*SQRT(N38)/(C38*J38*SQRT(($O$4*B38)*$O$6))/$L$5</f>
        <v>4.37133458118725E-010</v>
      </c>
      <c r="P38" s="57" t="n">
        <f aca="false">O38*B38*B38*0.0000000016021773</f>
        <v>2.60879071963413E-014</v>
      </c>
    </row>
    <row r="39" customFormat="false" ht="12" hidden="false" customHeight="false" outlineLevel="0" collapsed="false">
      <c r="B39" s="50" t="n">
        <f aca="false">B38+6.5</f>
        <v>199.5</v>
      </c>
      <c r="C39" s="94" t="n">
        <f aca="false">C38-215</f>
        <v>16130</v>
      </c>
      <c r="D39" s="51" t="n">
        <v>0.7644</v>
      </c>
      <c r="E39" s="58" t="n">
        <v>1.005</v>
      </c>
      <c r="F39" s="51" t="n">
        <f aca="false">EXP(-$C$5*$C$6*E39)</f>
        <v>0.113571520948549</v>
      </c>
      <c r="G39" s="51" t="n">
        <f aca="false">EXP(-1*D39*$C$5*$C$7)</f>
        <v>0.880493617319028</v>
      </c>
      <c r="H39" s="52" t="n">
        <v>0.1277</v>
      </c>
      <c r="I39" s="58" t="n">
        <v>0.3262</v>
      </c>
      <c r="J39" s="51" t="n">
        <v>0.3001558</v>
      </c>
      <c r="K39" s="54" t="n">
        <f aca="false">MIN(167*POWER(B39,-2.38),11.6*POWER(B39,-1.41))</f>
        <v>0.000560857289877299</v>
      </c>
      <c r="L39" s="55" t="n">
        <f aca="false">K39*$N$10*J39*(MAX(G39*($D$10-$D$8),0)+MAX(G39*F39*($D$9-$D$10),0)+F39*$D$11+$D$12)</f>
        <v>8.89371323737943E-007</v>
      </c>
      <c r="M39" s="55" t="n">
        <f aca="false">$K$120*0.000084*(B39/10)^(-0.45)</f>
        <v>1.33240058918202E-005</v>
      </c>
      <c r="N39" s="55" t="n">
        <f aca="false">L39+M39</f>
        <v>1.42133772155581E-005</v>
      </c>
      <c r="O39" s="56" t="n">
        <f aca="false">100*$O$5*SQRT(N39)/(C39*J39*SQRT(($O$4*B39)*$O$6))/$L$5</f>
        <v>4.67802277784153E-010</v>
      </c>
      <c r="P39" s="57" t="n">
        <f aca="false">O39*B39*B39*0.0000000016021773</f>
        <v>2.98303745516393E-014</v>
      </c>
    </row>
    <row r="40" customFormat="false" ht="12" hidden="false" customHeight="false" outlineLevel="0" collapsed="false">
      <c r="B40" s="50" t="n">
        <f aca="false">B39+6.5</f>
        <v>206</v>
      </c>
      <c r="C40" s="94" t="n">
        <f aca="false">C39-215</f>
        <v>15915</v>
      </c>
      <c r="D40" s="51" t="n">
        <v>0.7092</v>
      </c>
      <c r="E40" s="58" t="n">
        <v>0.931</v>
      </c>
      <c r="F40" s="51" t="n">
        <f aca="false">EXP(-$C$5*$C$6*E40)</f>
        <v>0.133300473455444</v>
      </c>
      <c r="G40" s="51" t="n">
        <f aca="false">EXP(-1*D40*$C$5*$C$7)</f>
        <v>0.888623360250672</v>
      </c>
      <c r="H40" s="52" t="n">
        <v>0.126</v>
      </c>
      <c r="I40" s="58" t="n">
        <v>0.3062</v>
      </c>
      <c r="J40" s="51" t="n">
        <v>0.28795548</v>
      </c>
      <c r="K40" s="54" t="n">
        <f aca="false">MIN(167*POWER(B40,-2.38),11.6*POWER(B40,-1.41))</f>
        <v>0.000519651860676358</v>
      </c>
      <c r="L40" s="55" t="n">
        <f aca="false">K40*$N$10*J40*(MAX(G40*($D$10-$D$8),0)+MAX(G40*F40*($D$9-$D$10),0)+F40*$D$11+$D$12)</f>
        <v>9.27891917903849E-007</v>
      </c>
      <c r="M40" s="55" t="n">
        <f aca="false">$K$120*0.000084*(B40/10)^(-0.45)</f>
        <v>1.31331490120334E-005</v>
      </c>
      <c r="N40" s="55" t="n">
        <f aca="false">L40+M40</f>
        <v>1.40610409299372E-005</v>
      </c>
      <c r="O40" s="56" t="n">
        <f aca="false">100*$O$5*SQRT(N40)/(C40*J40*SQRT(($O$4*B40)*$O$6))/$L$5</f>
        <v>4.83737085203663E-010</v>
      </c>
      <c r="P40" s="57" t="n">
        <f aca="false">O40*B40*B40*0.0000000016021773</f>
        <v>3.28892824410294E-014</v>
      </c>
      <c r="S40" s="59"/>
    </row>
    <row r="41" customFormat="false" ht="12" hidden="false" customHeight="false" outlineLevel="0" collapsed="false">
      <c r="B41" s="50" t="n">
        <f aca="false">B40+6.5</f>
        <v>212.5</v>
      </c>
      <c r="C41" s="94" t="n">
        <f aca="false">C40-215</f>
        <v>15700</v>
      </c>
      <c r="D41" s="51" t="n">
        <v>0.66</v>
      </c>
      <c r="E41" s="58" t="n">
        <v>0.8654</v>
      </c>
      <c r="F41" s="51" t="n">
        <f aca="false">EXP(-$C$5*$C$6*E41)</f>
        <v>0.153637660926307</v>
      </c>
      <c r="G41" s="51" t="n">
        <f aca="false">EXP(-1*D41*$C$5*$C$7)</f>
        <v>0.895932682471406</v>
      </c>
      <c r="H41" s="52" t="n">
        <v>0.1244</v>
      </c>
      <c r="I41" s="58" t="n">
        <v>0.2883</v>
      </c>
      <c r="J41" s="51" t="n">
        <v>0.27675325</v>
      </c>
      <c r="K41" s="54" t="n">
        <f aca="false">MIN(167*POWER(B41,-2.38),11.6*POWER(B41,-1.41))</f>
        <v>0.00048261654616801</v>
      </c>
      <c r="L41" s="55" t="n">
        <f aca="false">K41*$N$10*J41*(MAX(G41*($D$10-$D$8),0)+MAX(G41*F41*($D$9-$D$10),0)+F41*$D$11+$D$12)</f>
        <v>9.54624203049292E-007</v>
      </c>
      <c r="M41" s="55" t="n">
        <f aca="false">$K$120*0.000084*(B41/10)^(-0.45)</f>
        <v>1.2950829939857E-005</v>
      </c>
      <c r="N41" s="55" t="n">
        <f aca="false">L41+M41</f>
        <v>1.39054541429063E-005</v>
      </c>
      <c r="O41" s="56" t="n">
        <f aca="false">100*$O$5*SQRT(N41)/(C41*J41*SQRT(($O$4*B41)*$O$6))/$L$5</f>
        <v>4.99559230052867E-010</v>
      </c>
      <c r="P41" s="57" t="n">
        <f aca="false">O41*B41*B41*0.0000000016021773</f>
        <v>3.61422703869526E-014</v>
      </c>
      <c r="R41" s="59"/>
    </row>
    <row r="42" customFormat="false" ht="12" hidden="false" customHeight="false" outlineLevel="0" collapsed="false">
      <c r="B42" s="50" t="n">
        <f aca="false">B41+6.5</f>
        <v>219</v>
      </c>
      <c r="C42" s="94" t="n">
        <f aca="false">C41-215</f>
        <v>15485</v>
      </c>
      <c r="D42" s="51" t="n">
        <v>0.6159</v>
      </c>
      <c r="E42" s="58" t="n">
        <v>0.8066</v>
      </c>
      <c r="F42" s="51" t="n">
        <f aca="false">EXP(-$C$5*$C$6*E42)</f>
        <v>0.17449037438126</v>
      </c>
      <c r="G42" s="51" t="n">
        <f aca="false">EXP(-1*D42*$C$5*$C$7)</f>
        <v>0.902535413689319</v>
      </c>
      <c r="H42" s="52" t="n">
        <v>0.1229</v>
      </c>
      <c r="I42" s="58" t="n">
        <v>0.2724</v>
      </c>
      <c r="J42" s="51" t="n">
        <v>0.26555102</v>
      </c>
      <c r="K42" s="54" t="n">
        <f aca="false">MIN(167*POWER(B42,-2.38),11.6*POWER(B42,-1.41))</f>
        <v>0.000449220407868185</v>
      </c>
      <c r="L42" s="55" t="n">
        <f aca="false">K42*$N$10*J42*(MAX(G42*($D$10-$D$8),0)+MAX(G42*F42*($D$9-$D$10),0)+F42*$D$11+$D$12)</f>
        <v>9.68343719377998E-007</v>
      </c>
      <c r="M42" s="55" t="n">
        <f aca="false">$K$120*0.000084*(B42/10)^(-0.45)</f>
        <v>1.27764226312663E-005</v>
      </c>
      <c r="N42" s="55" t="n">
        <f aca="false">L42+M42</f>
        <v>1.37447663506443E-005</v>
      </c>
      <c r="O42" s="56" t="n">
        <f aca="false">100*$O$5*SQRT(N42)/(C42*J42*SQRT(($O$4*B42)*$O$6))/$L$5</f>
        <v>5.16956128202555E-010</v>
      </c>
      <c r="P42" s="57" t="n">
        <f aca="false">O42*B42*B42*0.0000000016021773</f>
        <v>3.97239559781228E-014</v>
      </c>
      <c r="S42" s="59"/>
    </row>
    <row r="43" customFormat="false" ht="12" hidden="false" customHeight="false" outlineLevel="0" collapsed="false">
      <c r="B43" s="50" t="n">
        <f aca="false">B42+6.5</f>
        <v>225.5</v>
      </c>
      <c r="C43" s="94" t="n">
        <f aca="false">C42-215</f>
        <v>15270</v>
      </c>
      <c r="D43" s="51" t="n">
        <v>0.5764</v>
      </c>
      <c r="E43" s="58" t="n">
        <v>0.7538</v>
      </c>
      <c r="F43" s="51" t="n">
        <f aca="false">EXP(-$C$5*$C$6*E43)</f>
        <v>0.195616317902827</v>
      </c>
      <c r="G43" s="51" t="n">
        <f aca="false">EXP(-1*D43*$C$5*$C$7)</f>
        <v>0.908490725303402</v>
      </c>
      <c r="H43" s="52" t="n">
        <v>0.1214</v>
      </c>
      <c r="I43" s="58" t="n">
        <v>0.2581</v>
      </c>
      <c r="J43" s="51" t="n">
        <v>0.25434879</v>
      </c>
      <c r="K43" s="54" t="n">
        <f aca="false">MIN(167*POWER(B43,-2.38),11.6*POWER(B43,-1.41))</f>
        <v>0.000419013187048915</v>
      </c>
      <c r="L43" s="55" t="n">
        <f aca="false">K43*$N$10*J43*(MAX(G43*($D$10-$D$8),0)+MAX(G43*F43*($D$9-$D$10),0)+F43*$D$11+$D$12)</f>
        <v>9.69890707513826E-007</v>
      </c>
      <c r="M43" s="55" t="n">
        <f aca="false">$K$120*0.000084*(B43/10)^(-0.45)</f>
        <v>1.26093638084451E-005</v>
      </c>
      <c r="N43" s="55" t="n">
        <f aca="false">L43+M43</f>
        <v>1.35792545159589E-005</v>
      </c>
      <c r="O43" s="56" t="n">
        <f aca="false">100*$O$5*SQRT(N43)/(C43*J43*SQRT(($O$4*B43)*$O$6))/$L$5</f>
        <v>5.36120268367146E-010</v>
      </c>
      <c r="P43" s="57" t="n">
        <f aca="false">O43*B43*B43*0.0000000016021773</f>
        <v>4.36783167077591E-014</v>
      </c>
    </row>
    <row r="44" customFormat="false" ht="12" hidden="false" customHeight="false" outlineLevel="0" collapsed="false">
      <c r="B44" s="50" t="n">
        <f aca="false">B43+6.5</f>
        <v>232</v>
      </c>
      <c r="C44" s="94" t="n">
        <f aca="false">C43-215</f>
        <v>15055</v>
      </c>
      <c r="D44" s="51" t="n">
        <v>0.5408</v>
      </c>
      <c r="E44" s="58" t="n">
        <v>0.7062</v>
      </c>
      <c r="F44" s="51" t="n">
        <f aca="false">EXP(-$C$5*$C$6*E44)</f>
        <v>0.216845556507287</v>
      </c>
      <c r="G44" s="51" t="n">
        <f aca="false">EXP(-1*D44*$C$5*$C$7)</f>
        <v>0.91389170429682</v>
      </c>
      <c r="H44" s="52" t="n">
        <v>0.12</v>
      </c>
      <c r="I44" s="58" t="n">
        <v>0.2452</v>
      </c>
      <c r="J44" s="51" t="n">
        <v>0.24314656</v>
      </c>
      <c r="K44" s="54" t="n">
        <f aca="false">MIN(167*POWER(B44,-2.38),11.6*POWER(B44,-1.41))</f>
        <v>0.000391611166695418</v>
      </c>
      <c r="L44" s="55" t="n">
        <f aca="false">K44*$N$10*J44*(MAX(G44*($D$10-$D$8),0)+MAX(G44*F44*($D$9-$D$10),0)+F44*$D$11+$D$12)</f>
        <v>9.60600716641507E-007</v>
      </c>
      <c r="M44" s="55" t="n">
        <f aca="false">$K$120*0.000084*(B44/10)^(-0.45)</f>
        <v>1.24491450718603E-005</v>
      </c>
      <c r="N44" s="55" t="n">
        <f aca="false">L44+M44</f>
        <v>1.34097457885018E-005</v>
      </c>
      <c r="O44" s="56" t="n">
        <f aca="false">100*$O$5*SQRT(N44)/(C44*J44*SQRT(($O$4*B44)*$O$6))/$L$5</f>
        <v>5.57293065086922E-010</v>
      </c>
      <c r="P44" s="57" t="n">
        <f aca="false">O44*B44*B44*0.0000000016021773</f>
        <v>4.80584968252971E-014</v>
      </c>
    </row>
    <row r="45" customFormat="false" ht="12" hidden="false" customHeight="false" outlineLevel="0" collapsed="false">
      <c r="B45" s="50" t="n">
        <f aca="false">B44+6.5</f>
        <v>238.5</v>
      </c>
      <c r="C45" s="94" t="n">
        <f aca="false">C44-215</f>
        <v>14840</v>
      </c>
      <c r="D45" s="51" t="n">
        <v>0.5087</v>
      </c>
      <c r="E45" s="58" t="n">
        <v>0.6632</v>
      </c>
      <c r="F45" s="51" t="n">
        <f aca="false">EXP(-$C$5*$C$6*E45)</f>
        <v>0.237997192880492</v>
      </c>
      <c r="G45" s="51" t="n">
        <f aca="false">EXP(-1*D45*$C$5*$C$7)</f>
        <v>0.918789211667355</v>
      </c>
      <c r="H45" s="52" t="n">
        <v>0.1187</v>
      </c>
      <c r="I45" s="58" t="n">
        <v>0.2335</v>
      </c>
      <c r="J45" s="51" t="n">
        <v>0.23194433</v>
      </c>
      <c r="K45" s="54" t="n">
        <f aca="false">MIN(167*POWER(B45,-2.38),11.6*POWER(B45,-1.41))</f>
        <v>0.000366685822450096</v>
      </c>
      <c r="L45" s="55" t="n">
        <f aca="false">K45*$N$10*J45*(MAX(G45*($D$10-$D$8),0)+MAX(G45*F45*($D$9-$D$10),0)+F45*$D$11+$D$12)</f>
        <v>9.4173108013033E-007</v>
      </c>
      <c r="M45" s="55" t="n">
        <f aca="false">$K$120*0.000084*(B45/10)^(-0.45)</f>
        <v>1.22953061930818E-005</v>
      </c>
      <c r="N45" s="55" t="n">
        <f aca="false">L45+M45</f>
        <v>1.32370372732121E-005</v>
      </c>
      <c r="O45" s="56" t="n">
        <f aca="false">100*$O$5*SQRT(N45)/(C45*J45*SQRT(($O$4*B45)*$O$6))/$L$5</f>
        <v>5.80764138080381E-010</v>
      </c>
      <c r="P45" s="57" t="n">
        <f aca="false">O45*B45*B45*0.0000000016021773</f>
        <v>5.29282009069024E-014</v>
      </c>
    </row>
    <row r="46" customFormat="false" ht="12" hidden="false" customHeight="false" outlineLevel="0" collapsed="false">
      <c r="B46" s="50" t="n">
        <f aca="false">B45+6.5</f>
        <v>245</v>
      </c>
      <c r="C46" s="94" t="n">
        <f aca="false">C45-215</f>
        <v>14625</v>
      </c>
      <c r="D46" s="51" t="n">
        <v>0.4795</v>
      </c>
      <c r="E46" s="58" t="n">
        <v>0.6242</v>
      </c>
      <c r="F46" s="51" t="n">
        <f aca="false">EXP(-$C$5*$C$6*E46)</f>
        <v>0.258960199234616</v>
      </c>
      <c r="G46" s="51" t="n">
        <f aca="false">EXP(-1*D46*$C$5*$C$7)</f>
        <v>0.923267057431638</v>
      </c>
      <c r="H46" s="52" t="n">
        <v>0.1174</v>
      </c>
      <c r="I46" s="58" t="n">
        <v>0.2229</v>
      </c>
      <c r="J46" s="51" t="n">
        <v>0.2207421</v>
      </c>
      <c r="K46" s="54" t="n">
        <f aca="false">MIN(167*POWER(B46,-2.38),11.6*POWER(B46,-1.41))</f>
        <v>0.000343954654126442</v>
      </c>
      <c r="L46" s="55" t="n">
        <f aca="false">K46*$N$10*J46*(MAX(G46*($D$10-$D$8),0)+MAX(G46*F46*($D$9-$D$10),0)+F46*$D$11+$D$12)</f>
        <v>9.14753104215557E-007</v>
      </c>
      <c r="M46" s="55" t="n">
        <f aca="false">$K$120*0.000084*(B46/10)^(-0.45)</f>
        <v>1.21474293847568E-005</v>
      </c>
      <c r="N46" s="55" t="n">
        <f aca="false">L46+M46</f>
        <v>1.30621824889724E-005</v>
      </c>
      <c r="O46" s="56" t="n">
        <f aca="false">100*$O$5*SQRT(N46)/(C46*J46*SQRT(($O$4*B46)*$O$6))/$L$5</f>
        <v>6.06890074637451E-010</v>
      </c>
      <c r="P46" s="57" t="n">
        <f aca="false">O46*B46*B46*0.0000000016021773</f>
        <v>5.83650387082952E-014</v>
      </c>
    </row>
    <row r="47" customFormat="false" ht="12" hidden="false" customHeight="false" outlineLevel="0" collapsed="false">
      <c r="B47" s="50" t="n">
        <f aca="false">B46+6.5</f>
        <v>251.5</v>
      </c>
      <c r="C47" s="94" t="n">
        <f aca="false">C46-215</f>
        <v>14410</v>
      </c>
      <c r="D47" s="51" t="n">
        <v>0.4531</v>
      </c>
      <c r="E47" s="58" t="n">
        <v>0.5888</v>
      </c>
      <c r="F47" s="51" t="n">
        <f aca="false">EXP(-$C$5*$C$6*E47)</f>
        <v>0.279582572689986</v>
      </c>
      <c r="G47" s="51" t="n">
        <f aca="false">EXP(-1*D47*$C$5*$C$7)</f>
        <v>0.927334302551907</v>
      </c>
      <c r="H47" s="52" t="n">
        <v>0.1161</v>
      </c>
      <c r="I47" s="58" t="n">
        <v>0.2133</v>
      </c>
      <c r="J47" s="51" t="n">
        <v>0.2107798</v>
      </c>
      <c r="K47" s="54" t="n">
        <f aca="false">MIN(167*POWER(B47,-2.38),11.6*POWER(B47,-1.41))</f>
        <v>0.000323173734160361</v>
      </c>
      <c r="L47" s="55" t="n">
        <f aca="false">K47*$N$10*J47*(MAX(G47*($D$10-$D$8),0)+MAX(G47*F47*($D$9-$D$10),0)+F47*$D$11+$D$12)</f>
        <v>8.86066469797107E-007</v>
      </c>
      <c r="M47" s="55" t="n">
        <f aca="false">$K$120*0.000084*(B47/10)^(-0.45)</f>
        <v>1.20051343836384E-005</v>
      </c>
      <c r="N47" s="55" t="n">
        <f aca="false">L47+M47</f>
        <v>1.28912008534355E-005</v>
      </c>
      <c r="O47" s="56" t="n">
        <f aca="false">100*$O$5*SQRT(N47)/(C47*J47*SQRT(($O$4*B47)*$O$6))/$L$5</f>
        <v>6.32486080448922E-010</v>
      </c>
      <c r="P47" s="57" t="n">
        <f aca="false">O47*B47*B47*0.0000000016021773</f>
        <v>6.40969737202147E-014</v>
      </c>
    </row>
    <row r="48" customFormat="false" ht="12" hidden="false" customHeight="false" outlineLevel="0" collapsed="false">
      <c r="B48" s="50" t="n">
        <f aca="false">B47+6.5</f>
        <v>258</v>
      </c>
      <c r="C48" s="94" t="n">
        <f aca="false">C47-215</f>
        <v>14195</v>
      </c>
      <c r="D48" s="51" t="n">
        <v>0.429</v>
      </c>
      <c r="E48" s="58" t="n">
        <v>0.5565</v>
      </c>
      <c r="F48" s="51" t="n">
        <f aca="false">EXP(-$C$5*$C$6*E48)</f>
        <v>0.299828615270976</v>
      </c>
      <c r="G48" s="51" t="n">
        <f aca="false">EXP(-1*D48*$C$5*$C$7)</f>
        <v>0.931062846208509</v>
      </c>
      <c r="H48" s="52" t="n">
        <v>0.115</v>
      </c>
      <c r="I48" s="58" t="n">
        <v>0.2046</v>
      </c>
      <c r="J48" s="51" t="n">
        <v>0.2049506</v>
      </c>
      <c r="K48" s="54" t="n">
        <f aca="false">MIN(167*POWER(B48,-2.38),11.6*POWER(B48,-1.41))</f>
        <v>0.000304131616969452</v>
      </c>
      <c r="L48" s="55" t="n">
        <f aca="false">K48*$N$10*J48*(MAX(G48*($D$10-$D$8),0)+MAX(G48*F48*($D$9-$D$10),0)+F48*$D$11+$D$12)</f>
        <v>8.69523053976705E-007</v>
      </c>
      <c r="M48" s="55" t="n">
        <f aca="false">$K$120*0.000084*(B48/10)^(-0.45)</f>
        <v>1.18680742135959E-005</v>
      </c>
      <c r="N48" s="55" t="n">
        <f aca="false">L48+M48</f>
        <v>1.27375972675726E-005</v>
      </c>
      <c r="O48" s="56" t="n">
        <f aca="false">100*$O$5*SQRT(N48)/(C48*J48*SQRT(($O$4*B48)*$O$6))/$L$5</f>
        <v>6.4806051414282E-010</v>
      </c>
      <c r="P48" s="57" t="n">
        <f aca="false">O48*B48*B48*0.0000000016021773</f>
        <v>6.91139233803323E-014</v>
      </c>
    </row>
    <row r="49" customFormat="false" ht="12" hidden="false" customHeight="false" outlineLevel="0" collapsed="false">
      <c r="B49" s="50" t="n">
        <f aca="false">B48+6.5</f>
        <v>264.5</v>
      </c>
      <c r="C49" s="94" t="n">
        <f aca="false">C48-215</f>
        <v>13980</v>
      </c>
      <c r="D49" s="51" t="n">
        <v>0.407</v>
      </c>
      <c r="E49" s="58" t="n">
        <v>0.5269</v>
      </c>
      <c r="F49" s="51" t="n">
        <f aca="false">EXP(-$C$5*$C$6*E49)</f>
        <v>0.319667127871456</v>
      </c>
      <c r="G49" s="51" t="n">
        <f aca="false">EXP(-1*D49*$C$5*$C$7)</f>
        <v>0.934479583347884</v>
      </c>
      <c r="H49" s="52" t="n">
        <v>0.1138</v>
      </c>
      <c r="I49" s="58" t="n">
        <v>0.1966</v>
      </c>
      <c r="J49" s="51" t="n">
        <v>0.1991214</v>
      </c>
      <c r="K49" s="54" t="n">
        <f aca="false">MIN(167*POWER(B49,-2.38),11.6*POWER(B49,-1.41))</f>
        <v>0.000286644333827266</v>
      </c>
      <c r="L49" s="55" t="n">
        <f aca="false">K49*$N$10*J49*(MAX(G49*($D$10-$D$8),0)+MAX(G49*F49*($D$9-$D$10),0)+F49*$D$11+$D$12)</f>
        <v>8.48910920997049E-007</v>
      </c>
      <c r="M49" s="55" t="n">
        <f aca="false">$K$120*0.000084*(B49/10)^(-0.45)</f>
        <v>1.17359315200637E-005</v>
      </c>
      <c r="N49" s="55" t="n">
        <f aca="false">L49+M49</f>
        <v>1.25848424410607E-005</v>
      </c>
      <c r="O49" s="56" t="n">
        <f aca="false">100*$O$5*SQRT(N49)/(C49*J49*SQRT(($O$4*B49)*$O$6))/$L$5</f>
        <v>6.64893661606182E-010</v>
      </c>
      <c r="P49" s="57" t="n">
        <f aca="false">O49*B49*B49*0.0000000016021773</f>
        <v>7.45270824258728E-014</v>
      </c>
    </row>
    <row r="50" customFormat="false" ht="12" hidden="false" customHeight="false" outlineLevel="0" collapsed="false">
      <c r="B50" s="50" t="n">
        <f aca="false">B49+6.5</f>
        <v>271</v>
      </c>
      <c r="C50" s="94" t="n">
        <f aca="false">C49-215</f>
        <v>13765</v>
      </c>
      <c r="D50" s="51" t="n">
        <v>0.3868</v>
      </c>
      <c r="E50" s="58" t="n">
        <v>0.4999</v>
      </c>
      <c r="F50" s="51" t="n">
        <f aca="false">EXP(-$C$5*$C$6*E50)</f>
        <v>0.338905642857076</v>
      </c>
      <c r="G50" s="51" t="n">
        <f aca="false">EXP(-1*D50*$C$5*$C$7)</f>
        <v>0.937627809777862</v>
      </c>
      <c r="H50" s="52" t="n">
        <v>0.1127</v>
      </c>
      <c r="I50" s="58" t="n">
        <v>0.1892</v>
      </c>
      <c r="J50" s="51" t="n">
        <v>0.1932922</v>
      </c>
      <c r="K50" s="54" t="n">
        <f aca="false">MIN(167*POWER(B50,-2.38),11.6*POWER(B50,-1.41))</f>
        <v>0.000270551258763479</v>
      </c>
      <c r="L50" s="55" t="n">
        <f aca="false">K50*$N$10*J50*(MAX(G50*($D$10-$D$8),0)+MAX(G50*F50*($D$9-$D$10),0)+F50*$D$11+$D$12)</f>
        <v>8.24613951417759E-007</v>
      </c>
      <c r="M50" s="55" t="n">
        <f aca="false">$K$120*0.000084*(B50/10)^(-0.45)</f>
        <v>1.16084153869212E-005</v>
      </c>
      <c r="N50" s="55" t="n">
        <f aca="false">L50+M50</f>
        <v>1.2433029338339E-005</v>
      </c>
      <c r="O50" s="56" t="n">
        <f aca="false">100*$O$5*SQRT(N50)/(C50*J50*SQRT(($O$4*B50)*$O$6))/$L$5</f>
        <v>6.83092531658209E-010</v>
      </c>
      <c r="P50" s="57" t="n">
        <f aca="false">O50*B50*B50*0.0000000016021773</f>
        <v>8.03764263941068E-014</v>
      </c>
    </row>
    <row r="51" customFormat="false" ht="12" hidden="false" customHeight="false" outlineLevel="0" collapsed="false">
      <c r="B51" s="50" t="n">
        <f aca="false">B50+6.5</f>
        <v>277.5</v>
      </c>
      <c r="C51" s="94" t="n">
        <f aca="false">C50-215</f>
        <v>13550</v>
      </c>
      <c r="D51" s="51" t="n">
        <v>0.3683</v>
      </c>
      <c r="E51" s="58" t="n">
        <v>0.475</v>
      </c>
      <c r="F51" s="51" t="n">
        <f aca="false">EXP(-$C$5*$C$6*E51)</f>
        <v>0.357672505629652</v>
      </c>
      <c r="G51" s="51" t="n">
        <f aca="false">EXP(-1*D51*$C$5*$C$7)</f>
        <v>0.940520390487744</v>
      </c>
      <c r="H51" s="52" t="n">
        <v>0.1116</v>
      </c>
      <c r="I51" s="58" t="n">
        <v>0.1825</v>
      </c>
      <c r="J51" s="51" t="n">
        <v>0.187463</v>
      </c>
      <c r="K51" s="54" t="n">
        <f aca="false">MIN(167*POWER(B51,-2.38),11.6*POWER(B51,-1.41))</f>
        <v>0.000255711677344115</v>
      </c>
      <c r="L51" s="55" t="n">
        <f aca="false">K51*$N$10*J51*(MAX(G51*($D$10-$D$8),0)+MAX(G51*F51*($D$9-$D$10),0)+F51*$D$11+$D$12)</f>
        <v>7.97745568299836E-007</v>
      </c>
      <c r="M51" s="55" t="n">
        <f aca="false">$K$120*0.000084*(B51/10)^(-0.45)</f>
        <v>1.14852585624285E-005</v>
      </c>
      <c r="N51" s="55" t="n">
        <f aca="false">L51+M51</f>
        <v>1.22830041307283E-005</v>
      </c>
      <c r="O51" s="56" t="n">
        <f aca="false">100*$O$5*SQRT(N51)/(C51*J51*SQRT(($O$4*B51)*$O$6))/$L$5</f>
        <v>7.02800716197626E-010</v>
      </c>
      <c r="P51" s="57" t="n">
        <f aca="false">O51*B51*B51*0.0000000016021773</f>
        <v>8.67099118224615E-014</v>
      </c>
    </row>
    <row r="52" customFormat="false" ht="12" hidden="false" customHeight="false" outlineLevel="0" collapsed="false">
      <c r="B52" s="50" t="n">
        <f aca="false">B51+6.5</f>
        <v>284</v>
      </c>
      <c r="C52" s="94" t="n">
        <f aca="false">C51-215</f>
        <v>13335</v>
      </c>
      <c r="D52" s="51" t="n">
        <v>0.3514</v>
      </c>
      <c r="E52" s="58" t="n">
        <v>0.4522</v>
      </c>
      <c r="F52" s="51" t="n">
        <f aca="false">EXP(-$C$5*$C$6*E52)</f>
        <v>0.375766665013204</v>
      </c>
      <c r="G52" s="51" t="n">
        <f aca="false">EXP(-1*D52*$C$5*$C$7)</f>
        <v>0.94317060068686</v>
      </c>
      <c r="H52" s="52" t="n">
        <v>0.1106</v>
      </c>
      <c r="I52" s="58" t="n">
        <v>0.1762</v>
      </c>
      <c r="J52" s="51" t="n">
        <v>0.1816338</v>
      </c>
      <c r="K52" s="54" t="n">
        <f aca="false">MIN(167*POWER(B52,-2.38),11.6*POWER(B52,-1.41))</f>
        <v>0.000242001925698625</v>
      </c>
      <c r="L52" s="55" t="n">
        <f aca="false">K52*$N$10*J52*(MAX(G52*($D$10-$D$8),0)+MAX(G52*F52*($D$9-$D$10),0)+F52*$D$11+$D$12)</f>
        <v>7.68512247849204E-007</v>
      </c>
      <c r="M52" s="55" t="n">
        <f aca="false">$K$120*0.000084*(B52/10)^(-0.45)</f>
        <v>1.13662150334375E-005</v>
      </c>
      <c r="N52" s="55" t="n">
        <f aca="false">L52+M52</f>
        <v>1.21347272812867E-005</v>
      </c>
      <c r="O52" s="56" t="n">
        <f aca="false">100*$O$5*SQRT(N52)/(C52*J52*SQRT(($O$4*B52)*$O$6))/$L$5</f>
        <v>7.24156443451982E-010</v>
      </c>
      <c r="P52" s="57" t="n">
        <f aca="false">O52*B52*B52*0.0000000016021773</f>
        <v>9.35792701498679E-014</v>
      </c>
    </row>
    <row r="53" customFormat="false" ht="12" hidden="false" customHeight="false" outlineLevel="0" collapsed="false">
      <c r="B53" s="50" t="n">
        <f aca="false">B52+6.5</f>
        <v>290.5</v>
      </c>
      <c r="C53" s="94" t="n">
        <f aca="false">C52-215</f>
        <v>13120</v>
      </c>
      <c r="D53" s="51" t="n">
        <v>0.3357</v>
      </c>
      <c r="E53" s="58" t="n">
        <v>0.4311</v>
      </c>
      <c r="F53" s="51" t="n">
        <f aca="false">EXP(-$C$5*$C$6*E53)</f>
        <v>0.393326214139373</v>
      </c>
      <c r="G53" s="51" t="n">
        <f aca="false">EXP(-1*D53*$C$5*$C$7)</f>
        <v>0.94563932106906</v>
      </c>
      <c r="H53" s="52" t="n">
        <v>0.1096</v>
      </c>
      <c r="I53" s="58" t="n">
        <v>0.1705</v>
      </c>
      <c r="J53" s="51" t="n">
        <v>0.1758046</v>
      </c>
      <c r="K53" s="54" t="n">
        <f aca="false">MIN(167*POWER(B53,-2.38),11.6*POWER(B53,-1.41))</f>
        <v>0.000229312994556658</v>
      </c>
      <c r="L53" s="55" t="n">
        <f aca="false">K53*$N$10*J53*(MAX(G53*($D$10-$D$8),0)+MAX(G53*F53*($D$9-$D$10),0)+F53*$D$11+$D$12)</f>
        <v>7.37790196434147E-007</v>
      </c>
      <c r="M53" s="55" t="n">
        <f aca="false">$K$120*0.000084*(B53/10)^(-0.45)</f>
        <v>1.12510578972947E-005</v>
      </c>
      <c r="N53" s="55" t="n">
        <f aca="false">L53+M53</f>
        <v>1.19888480937288E-005</v>
      </c>
      <c r="O53" s="56" t="n">
        <f aca="false">100*$O$5*SQRT(N53)/(C53*J53*SQRT(($O$4*B53)*$O$6))/$L$5</f>
        <v>7.47339331400294E-010</v>
      </c>
      <c r="P53" s="57" t="n">
        <f aca="false">O53*B53*B53*0.0000000016021773</f>
        <v>1.01046363108278E-013</v>
      </c>
    </row>
    <row r="54" customFormat="false" ht="12" hidden="false" customHeight="false" outlineLevel="0" collapsed="false">
      <c r="B54" s="50" t="n">
        <f aca="false">B53+6.5</f>
        <v>297</v>
      </c>
      <c r="C54" s="94" t="n">
        <f aca="false">C53-215</f>
        <v>12905</v>
      </c>
      <c r="D54" s="51" t="n">
        <v>0.3212</v>
      </c>
      <c r="E54" s="58" t="n">
        <v>0.4117</v>
      </c>
      <c r="F54" s="51" t="n">
        <f aca="false">EXP(-$C$5*$C$6*E54)</f>
        <v>0.410194168369103</v>
      </c>
      <c r="G54" s="51" t="n">
        <f aca="false">EXP(-1*D54*$C$5*$C$7)</f>
        <v>0.947925088897205</v>
      </c>
      <c r="H54" s="52" t="n">
        <v>0.1086</v>
      </c>
      <c r="I54" s="58" t="n">
        <v>0.1651</v>
      </c>
      <c r="J54" s="51" t="n">
        <v>0.1699754</v>
      </c>
      <c r="K54" s="54" t="n">
        <f aca="false">MIN(167*POWER(B54,-2.38),11.6*POWER(B54,-1.41))</f>
        <v>0.000217548514326518</v>
      </c>
      <c r="L54" s="55" t="n">
        <f aca="false">K54*$N$10*J54*(MAX(G54*($D$10-$D$8),0)+MAX(G54*F54*($D$9-$D$10),0)+F54*$D$11+$D$12)</f>
        <v>7.05759122414024E-007</v>
      </c>
      <c r="M54" s="55" t="n">
        <f aca="false">$K$120*0.000084*(B54/10)^(-0.45)</f>
        <v>1.11395774891512E-005</v>
      </c>
      <c r="N54" s="55" t="n">
        <f aca="false">L54+M54</f>
        <v>1.18453366115652E-005</v>
      </c>
      <c r="O54" s="56" t="n">
        <f aca="false">100*$O$5*SQRT(N54)/(C54*J54*SQRT(($O$4*B54)*$O$6))/$L$5</f>
        <v>7.72534078082724E-010</v>
      </c>
      <c r="P54" s="57" t="n">
        <f aca="false">O54*B54*B54*0.0000000016021773</f>
        <v>1.09179504519236E-013</v>
      </c>
    </row>
    <row r="55" customFormat="false" ht="12" hidden="false" customHeight="false" outlineLevel="0" collapsed="false">
      <c r="B55" s="50" t="n">
        <f aca="false">B54+6.5</f>
        <v>303.5</v>
      </c>
      <c r="C55" s="94" t="n">
        <f aca="false">C54-215</f>
        <v>12690</v>
      </c>
      <c r="D55" s="51" t="n">
        <v>0.3079</v>
      </c>
      <c r="E55" s="58" t="n">
        <v>0.3937</v>
      </c>
      <c r="F55" s="51" t="n">
        <f aca="false">EXP(-$C$5*$C$6*E55)</f>
        <v>0.426491155356207</v>
      </c>
      <c r="G55" s="51" t="n">
        <f aca="false">EXP(-1*D55*$C$5*$C$7)</f>
        <v>0.950026547539099</v>
      </c>
      <c r="H55" s="52" t="n">
        <v>0.1077</v>
      </c>
      <c r="I55" s="58" t="n">
        <v>0.1602</v>
      </c>
      <c r="J55" s="51" t="n">
        <v>0.16550497</v>
      </c>
      <c r="K55" s="54" t="n">
        <f aca="false">MIN(167*POWER(B55,-2.38),11.6*POWER(B55,-1.41))</f>
        <v>0.000206623053860133</v>
      </c>
      <c r="L55" s="55" t="n">
        <f aca="false">K55*$N$10*J55*(MAX(G55*($D$10-$D$8),0)+MAX(G55*F55*($D$9-$D$10),0)+F55*$D$11+$D$12)</f>
        <v>6.78622266848186E-007</v>
      </c>
      <c r="M55" s="55" t="n">
        <f aca="false">$K$120*0.000084*(B55/10)^(-0.45)</f>
        <v>1.10315797291832E-005</v>
      </c>
      <c r="N55" s="55" t="n">
        <f aca="false">L55+M55</f>
        <v>1.17102019960314E-005</v>
      </c>
      <c r="O55" s="56" t="n">
        <f aca="false">100*$O$5*SQRT(N55)/(C55*J55*SQRT(($O$4*B55)*$O$6))/$L$5</f>
        <v>7.93590447982812E-010</v>
      </c>
      <c r="P55" s="57" t="n">
        <f aca="false">O55*B55*B55*0.0000000016021773</f>
        <v>1.17118202114941E-013</v>
      </c>
    </row>
    <row r="56" customFormat="false" ht="12" hidden="false" customHeight="false" outlineLevel="0" collapsed="false">
      <c r="B56" s="50" t="n">
        <f aca="false">B55+6.5</f>
        <v>310</v>
      </c>
      <c r="C56" s="94" t="n">
        <f aca="false">C55-215</f>
        <v>12475</v>
      </c>
      <c r="D56" s="51" t="n">
        <v>0.2955</v>
      </c>
      <c r="E56" s="58" t="n">
        <v>0.377</v>
      </c>
      <c r="F56" s="51" t="n">
        <f aca="false">EXP(-$C$5*$C$6*E56)</f>
        <v>0.442189613091089</v>
      </c>
      <c r="G56" s="51" t="n">
        <f aca="false">EXP(-1*D56*$C$5*$C$7)</f>
        <v>0.951989998522152</v>
      </c>
      <c r="H56" s="52" t="n">
        <v>0.1067</v>
      </c>
      <c r="I56" s="58" t="n">
        <v>0.1556</v>
      </c>
      <c r="J56" s="51" t="n">
        <v>0.1621992</v>
      </c>
      <c r="K56" s="54" t="n">
        <f aca="false">MIN(167*POWER(B56,-2.38),11.6*POWER(B56,-1.41))</f>
        <v>0.000196460678600304</v>
      </c>
      <c r="L56" s="55" t="n">
        <f aca="false">K56*$N$10*J56*(MAX(G56*($D$10-$D$8),0)+MAX(G56*F56*($D$9-$D$10),0)+F56*$D$11+$D$12)</f>
        <v>6.55638359487408E-007</v>
      </c>
      <c r="M56" s="55" t="n">
        <f aca="false">$K$120*0.000084*(B56/10)^(-0.45)</f>
        <v>1.09268846598037E-005</v>
      </c>
      <c r="N56" s="55" t="n">
        <f aca="false">L56+M56</f>
        <v>1.15825230192911E-005</v>
      </c>
      <c r="O56" s="56" t="n">
        <f aca="false">100*$O$5*SQRT(N56)/(C56*J56*SQRT(($O$4*B56)*$O$6))/$L$5</f>
        <v>8.10583436593815E-010</v>
      </c>
      <c r="P56" s="57" t="n">
        <f aca="false">O56*B56*B56*0.0000000016021773</f>
        <v>1.2480491449738E-013</v>
      </c>
    </row>
    <row r="57" customFormat="false" ht="12" hidden="false" customHeight="false" outlineLevel="0" collapsed="false">
      <c r="B57" s="50" t="n">
        <f aca="false">B56+6.5</f>
        <v>316.5</v>
      </c>
      <c r="C57" s="94" t="n">
        <f aca="false">C56-215</f>
        <v>12260</v>
      </c>
      <c r="D57" s="51" t="n">
        <v>0.2839</v>
      </c>
      <c r="E57" s="58" t="n">
        <v>0.3615</v>
      </c>
      <c r="F57" s="51" t="n">
        <f aca="false">EXP(-$C$5*$C$6*E57)</f>
        <v>0.457276631797962</v>
      </c>
      <c r="G57" s="51" t="n">
        <f aca="false">EXP(-1*D57*$C$5*$C$7)</f>
        <v>0.953830448755968</v>
      </c>
      <c r="H57" s="52" t="n">
        <v>0.1058</v>
      </c>
      <c r="I57" s="58" t="n">
        <v>0.1513</v>
      </c>
      <c r="J57" s="51" t="n">
        <v>0.15889343</v>
      </c>
      <c r="K57" s="54" t="n">
        <f aca="false">MIN(167*POWER(B57,-2.38),11.6*POWER(B57,-1.41))</f>
        <v>0.000186993724115282</v>
      </c>
      <c r="L57" s="55" t="n">
        <f aca="false">K57*$N$10*J57*(MAX(G57*($D$10-$D$8),0)+MAX(G57*F57*($D$9-$D$10),0)+F57*$D$11+$D$12)</f>
        <v>6.32188306510394E-007</v>
      </c>
      <c r="M57" s="55" t="n">
        <f aca="false">$K$120*0.000084*(B57/10)^(-0.45)</f>
        <v>1.08253251475534E-005</v>
      </c>
      <c r="N57" s="55" t="n">
        <f aca="false">L57+M57</f>
        <v>1.14575134540638E-005</v>
      </c>
      <c r="O57" s="56" t="n">
        <f aca="false">100*$O$5*SQRT(N57)/(C57*J57*SQRT(($O$4*B57)*$O$6))/$L$5</f>
        <v>8.28758830023994E-010</v>
      </c>
      <c r="P57" s="57" t="n">
        <f aca="false">O57*B57*B57*0.0000000016021773</f>
        <v>1.33010575215104E-013</v>
      </c>
    </row>
    <row r="58" customFormat="false" ht="12" hidden="false" customHeight="false" outlineLevel="0" collapsed="false">
      <c r="B58" s="50" t="n">
        <f aca="false">B57+6.5</f>
        <v>323</v>
      </c>
      <c r="C58" s="94" t="n">
        <f aca="false">C57-215</f>
        <v>12045</v>
      </c>
      <c r="D58" s="51" t="n">
        <v>0.2732</v>
      </c>
      <c r="E58" s="58" t="n">
        <v>0.3471</v>
      </c>
      <c r="F58" s="51" t="n">
        <f aca="false">EXP(-$C$5*$C$6*E58)</f>
        <v>0.471753842293665</v>
      </c>
      <c r="G58" s="51" t="n">
        <f aca="false">EXP(-1*D58*$C$5*$C$7)</f>
        <v>0.955531259982216</v>
      </c>
      <c r="H58" s="52" t="n">
        <v>0.105</v>
      </c>
      <c r="I58" s="58" t="n">
        <v>0.1473</v>
      </c>
      <c r="J58" s="51" t="n">
        <v>0.15558766</v>
      </c>
      <c r="K58" s="54" t="n">
        <f aca="false">MIN(167*POWER(B58,-2.38),11.6*POWER(B58,-1.41))</f>
        <v>0.000178161749212328</v>
      </c>
      <c r="L58" s="55" t="n">
        <f aca="false">K58*$N$10*J58*(MAX(G58*($D$10-$D$8),0)+MAX(G58*F58*($D$9-$D$10),0)+F58*$D$11+$D$12)</f>
        <v>6.08474416414341E-007</v>
      </c>
      <c r="M58" s="55" t="n">
        <f aca="false">$K$120*0.000084*(B58/10)^(-0.45)</f>
        <v>1.07267457281715E-005</v>
      </c>
      <c r="N58" s="55" t="n">
        <f aca="false">L58+M58</f>
        <v>1.13352201445858E-005</v>
      </c>
      <c r="O58" s="56" t="n">
        <f aca="false">100*$O$5*SQRT(N58)/(C58*J58*SQRT(($O$4*B58)*$O$6))/$L$5</f>
        <v>8.48199501924686E-010</v>
      </c>
      <c r="P58" s="57" t="n">
        <f aca="false">O58*B58*B58*0.0000000016021773</f>
        <v>1.41779562546928E-013</v>
      </c>
    </row>
    <row r="59" customFormat="false" ht="12" hidden="false" customHeight="false" outlineLevel="0" collapsed="false">
      <c r="B59" s="50" t="n">
        <f aca="false">B58+6.5</f>
        <v>329.5</v>
      </c>
      <c r="C59" s="94" t="n">
        <f aca="false">C58-215</f>
        <v>11830</v>
      </c>
      <c r="D59" s="51" t="n">
        <v>0.2633</v>
      </c>
      <c r="E59" s="58" t="n">
        <v>0.3336</v>
      </c>
      <c r="F59" s="51" t="n">
        <f aca="false">EXP(-$C$5*$C$6*E59)</f>
        <v>0.485742223556716</v>
      </c>
      <c r="G59" s="51" t="n">
        <f aca="false">EXP(-1*D59*$C$5*$C$7)</f>
        <v>0.957107608764946</v>
      </c>
      <c r="H59" s="52" t="n">
        <v>0.1041</v>
      </c>
      <c r="I59" s="58" t="n">
        <v>0.1436</v>
      </c>
      <c r="J59" s="51" t="n">
        <v>0.15228189</v>
      </c>
      <c r="K59" s="54" t="n">
        <f aca="false">MIN(167*POWER(B59,-2.38),11.6*POWER(B59,-1.41))</f>
        <v>0.000169910639355553</v>
      </c>
      <c r="L59" s="55" t="n">
        <f aca="false">K59*$N$10*J59*(MAX(G59*($D$10-$D$8),0)+MAX(G59*F59*($D$9-$D$10),0)+F59*$D$11+$D$12)</f>
        <v>5.84809643516432E-007</v>
      </c>
      <c r="M59" s="55" t="n">
        <f aca="false">$K$120*0.000084*(B59/10)^(-0.45)</f>
        <v>1.06310015765267E-005</v>
      </c>
      <c r="N59" s="55" t="n">
        <f aca="false">L59+M59</f>
        <v>1.12158112200431E-005</v>
      </c>
      <c r="O59" s="56" t="n">
        <f aca="false">100*$O$5*SQRT(N59)/(C59*J59*SQRT(($O$4*B59)*$O$6))/$L$5</f>
        <v>8.69002210635879E-010</v>
      </c>
      <c r="P59" s="57" t="n">
        <f aca="false">O59*B59*B59*0.0000000016021773</f>
        <v>1.51161883052064E-013</v>
      </c>
    </row>
    <row r="60" customFormat="false" ht="12" hidden="false" customHeight="false" outlineLevel="0" collapsed="false">
      <c r="B60" s="50" t="n">
        <f aca="false">B59+6.5</f>
        <v>336</v>
      </c>
      <c r="C60" s="94" t="n">
        <f aca="false">C59-215</f>
        <v>11615</v>
      </c>
      <c r="D60" s="51" t="n">
        <v>0.254</v>
      </c>
      <c r="E60" s="58" t="n">
        <v>0.3211</v>
      </c>
      <c r="F60" s="51" t="n">
        <f aca="false">EXP(-$C$5*$C$6*E60)</f>
        <v>0.499063992484972</v>
      </c>
      <c r="G60" s="51" t="n">
        <f aca="false">EXP(-1*D60*$C$5*$C$7)</f>
        <v>0.958590790061426</v>
      </c>
      <c r="H60" s="52" t="n">
        <v>0.1033</v>
      </c>
      <c r="I60" s="58" t="n">
        <v>0.1401</v>
      </c>
      <c r="J60" s="51" t="n">
        <v>0.14897612</v>
      </c>
      <c r="K60" s="54" t="n">
        <f aca="false">MIN(167*POWER(B60,-2.38),11.6*POWER(B60,-1.41))</f>
        <v>0.000162191836352987</v>
      </c>
      <c r="L60" s="55" t="n">
        <f aca="false">K60*$N$10*J60*(MAX(G60*($D$10-$D$8),0)+MAX(G60*F60*($D$9-$D$10),0)+F60*$D$11+$D$12)</f>
        <v>5.6110501197036E-007</v>
      </c>
      <c r="M60" s="55" t="n">
        <f aca="false">$K$120*0.000084*(B60/10)^(-0.45)</f>
        <v>1.05379575857452E-005</v>
      </c>
      <c r="N60" s="55" t="n">
        <f aca="false">L60+M60</f>
        <v>1.10990625977156E-005</v>
      </c>
      <c r="O60" s="56" t="n">
        <f aca="false">100*$O$5*SQRT(N60)/(C60*J60*SQRT(($O$4*B60)*$O$6))/$L$5</f>
        <v>8.91258914276312E-010</v>
      </c>
      <c r="P60" s="57" t="n">
        <f aca="false">O60*B60*B60*0.0000000016021773</f>
        <v>1.61210385199714E-013</v>
      </c>
    </row>
    <row r="61" customFormat="false" ht="12" hidden="false" customHeight="false" outlineLevel="0" collapsed="false">
      <c r="B61" s="50" t="n">
        <f aca="false">B60+6.5</f>
        <v>342.5</v>
      </c>
      <c r="C61" s="94" t="n">
        <f aca="false">C60-215</f>
        <v>11400</v>
      </c>
      <c r="D61" s="51" t="n">
        <v>0.2453</v>
      </c>
      <c r="E61" s="58" t="n">
        <v>0.3093</v>
      </c>
      <c r="F61" s="51" t="n">
        <f aca="false">EXP(-$C$5*$C$6*E61)</f>
        <v>0.511974812238201</v>
      </c>
      <c r="G61" s="51" t="n">
        <f aca="false">EXP(-1*D61*$C$5*$C$7)</f>
        <v>0.959980362940288</v>
      </c>
      <c r="H61" s="52" t="n">
        <v>0.1025</v>
      </c>
      <c r="I61" s="58" t="n">
        <v>0.1368</v>
      </c>
      <c r="J61" s="51" t="n">
        <v>0.14567035</v>
      </c>
      <c r="K61" s="54" t="n">
        <f aca="false">MIN(167*POWER(B61,-2.38),11.6*POWER(B61,-1.41))</f>
        <v>0.000154961674499193</v>
      </c>
      <c r="L61" s="55" t="n">
        <f aca="false">K61*$N$10*J61*(MAX(G61*($D$10-$D$8),0)+MAX(G61*F61*($D$9-$D$10),0)+F61*$D$11+$D$12)</f>
        <v>5.37760120804269E-007</v>
      </c>
      <c r="M61" s="55" t="n">
        <f aca="false">$K$120*0.000084*(B61/10)^(-0.45)</f>
        <v>1.04474875420939E-005</v>
      </c>
      <c r="N61" s="55" t="n">
        <f aca="false">L61+M61</f>
        <v>1.09852476628982E-005</v>
      </c>
      <c r="O61" s="56" t="n">
        <f aca="false">100*$O$5*SQRT(N61)/(C61*J61*SQRT(($O$4*B61)*$O$6))/$L$5</f>
        <v>9.15092237896698E-010</v>
      </c>
      <c r="P61" s="57" t="n">
        <f aca="false">O61*B61*B61*0.0000000016021773</f>
        <v>1.7198738666118E-013</v>
      </c>
    </row>
    <row r="62" customFormat="false" ht="12" hidden="false" customHeight="false" outlineLevel="0" collapsed="false">
      <c r="B62" s="50" t="n">
        <f aca="false">B61+6.5</f>
        <v>349</v>
      </c>
      <c r="C62" s="94" t="n">
        <f aca="false">C61-215</f>
        <v>11185</v>
      </c>
      <c r="D62" s="51" t="n">
        <v>0.2371</v>
      </c>
      <c r="E62" s="58" t="n">
        <v>0.2984</v>
      </c>
      <c r="F62" s="51" t="n">
        <f aca="false">EXP(-$C$5*$C$6*E62)</f>
        <v>0.524197477604331</v>
      </c>
      <c r="G62" s="51" t="n">
        <f aca="false">EXP(-1*D62*$C$5*$C$7)</f>
        <v>0.961291919259999</v>
      </c>
      <c r="H62" s="52" t="n">
        <v>0.1017</v>
      </c>
      <c r="I62" s="58" t="n">
        <v>0.1337</v>
      </c>
      <c r="J62" s="51" t="n">
        <v>0.14236458</v>
      </c>
      <c r="K62" s="54" t="n">
        <f aca="false">MIN(167*POWER(B62,-2.38),11.6*POWER(B62,-1.41))</f>
        <v>0.000148180806775725</v>
      </c>
      <c r="L62" s="55" t="n">
        <f aca="false">K62*$N$10*J62*(MAX(G62*($D$10-$D$8),0)+MAX(G62*F62*($D$9-$D$10),0)+F62*$D$11+$D$12)</f>
        <v>5.1455939251887E-007</v>
      </c>
      <c r="M62" s="55" t="n">
        <f aca="false">$K$120*0.000084*(B62/10)^(-0.45)</f>
        <v>1.03594733840583E-005</v>
      </c>
      <c r="N62" s="55" t="n">
        <f aca="false">L62+M62</f>
        <v>1.08740327765772E-005</v>
      </c>
      <c r="O62" s="56" t="n">
        <f aca="false">100*$O$5*SQRT(N62)/(C62*J62*SQRT(($O$4*B62)*$O$6))/$L$5</f>
        <v>9.40612864017994E-010</v>
      </c>
      <c r="P62" s="57" t="n">
        <f aca="false">O62*B62*B62*0.0000000016021773</f>
        <v>1.83557587928564E-013</v>
      </c>
    </row>
    <row r="63" customFormat="false" ht="12" hidden="false" customHeight="false" outlineLevel="0" collapsed="false">
      <c r="B63" s="50" t="n">
        <f aca="false">B62+6.5</f>
        <v>355.5</v>
      </c>
      <c r="C63" s="94" t="n">
        <f aca="false">C62-215</f>
        <v>10970</v>
      </c>
      <c r="D63" s="51" t="n">
        <v>0.2295</v>
      </c>
      <c r="E63" s="58" t="n">
        <v>0.2881</v>
      </c>
      <c r="F63" s="51" t="n">
        <f aca="false">EXP(-$C$5*$C$6*E63)</f>
        <v>0.536015366220733</v>
      </c>
      <c r="G63" s="51" t="n">
        <f aca="false">EXP(-1*D63*$C$5*$C$7)</f>
        <v>0.962509108007534</v>
      </c>
      <c r="H63" s="52" t="n">
        <v>0.1009</v>
      </c>
      <c r="I63" s="58" t="n">
        <v>0.1308</v>
      </c>
      <c r="J63" s="51" t="n">
        <v>0.14002395</v>
      </c>
      <c r="K63" s="54" t="n">
        <f aca="false">MIN(167*POWER(B63,-2.38),11.6*POWER(B63,-1.41))</f>
        <v>0.000141813707487799</v>
      </c>
      <c r="L63" s="55" t="n">
        <f aca="false">K63*$N$10*J63*(MAX(G63*($D$10-$D$8),0)+MAX(G63*F63*($D$9-$D$10),0)+F63*$D$11+$D$12)</f>
        <v>4.95275040987649E-007</v>
      </c>
      <c r="M63" s="55" t="n">
        <f aca="false">$K$120*0.000084*(B63/10)^(-0.45)</f>
        <v>1.02738045356323E-005</v>
      </c>
      <c r="N63" s="55" t="n">
        <f aca="false">L63+M63</f>
        <v>1.076907957662E-005</v>
      </c>
      <c r="O63" s="56" t="n">
        <f aca="false">100*$O$5*SQRT(N63)/(C63*J63*SQRT(($O$4*B63)*$O$6))/$L$5</f>
        <v>9.61450183086795E-010</v>
      </c>
      <c r="P63" s="57" t="n">
        <f aca="false">O63*B63*B63*0.0000000016021773</f>
        <v>1.94677863254851E-013</v>
      </c>
    </row>
    <row r="64" customFormat="false" ht="12" hidden="false" customHeight="false" outlineLevel="0" collapsed="false">
      <c r="B64" s="50" t="n">
        <f aca="false">B63+6.5</f>
        <v>362</v>
      </c>
      <c r="C64" s="94" t="n">
        <f aca="false">C63-215</f>
        <v>10755</v>
      </c>
      <c r="D64" s="51" t="n">
        <v>0.2223</v>
      </c>
      <c r="E64" s="58" t="n">
        <v>0.2784</v>
      </c>
      <c r="F64" s="51" t="n">
        <f aca="false">EXP(-$C$5*$C$6*E64)</f>
        <v>0.54738833085676</v>
      </c>
      <c r="G64" s="51" t="n">
        <f aca="false">EXP(-1*D64*$C$5*$C$7)</f>
        <v>0.963663655823906</v>
      </c>
      <c r="H64" s="52" t="n">
        <v>0.1002</v>
      </c>
      <c r="I64" s="58" t="n">
        <v>0.1281</v>
      </c>
      <c r="J64" s="51" t="n">
        <v>0.1378588</v>
      </c>
      <c r="K64" s="54" t="n">
        <f aca="false">MIN(167*POWER(B64,-2.38),11.6*POWER(B64,-1.41))</f>
        <v>0.000135828239980771</v>
      </c>
      <c r="L64" s="55" t="n">
        <f aca="false">K64*$N$10*J64*(MAX(G64*($D$10-$D$8),0)+MAX(G64*F64*($D$9-$D$10),0)+F64*$D$11+$D$12)</f>
        <v>4.76947587347685E-007</v>
      </c>
      <c r="M64" s="55" t="n">
        <f aca="false">$K$120*0.000084*(B64/10)^(-0.45)</f>
        <v>1.0190377305182E-005</v>
      </c>
      <c r="N64" s="55" t="n">
        <f aca="false">L64+M64</f>
        <v>1.06673248925297E-005</v>
      </c>
      <c r="O64" s="56" t="n">
        <f aca="false">100*$O$5*SQRT(N64)/(C64*J64*SQRT(($O$4*B64)*$O$6))/$L$5</f>
        <v>9.82414617200245E-010</v>
      </c>
      <c r="P64" s="57" t="n">
        <f aca="false">O64*B64*B64*0.0000000016021773</f>
        <v>2.06263570357051E-013</v>
      </c>
    </row>
    <row r="65" customFormat="false" ht="12" hidden="false" customHeight="false" outlineLevel="0" collapsed="false">
      <c r="B65" s="50" t="n">
        <f aca="false">B64+6.5</f>
        <v>368.5</v>
      </c>
      <c r="C65" s="94" t="n">
        <f aca="false">C64-215</f>
        <v>10540</v>
      </c>
      <c r="D65" s="51" t="n">
        <v>0.2156</v>
      </c>
      <c r="E65" s="58" t="n">
        <v>0.2694</v>
      </c>
      <c r="F65" s="51" t="n">
        <f aca="false">EXP(-$C$5*$C$6*E65)</f>
        <v>0.558156271141497</v>
      </c>
      <c r="G65" s="51" t="n">
        <f aca="false">EXP(-1*D65*$C$5*$C$7)</f>
        <v>0.964739270654677</v>
      </c>
      <c r="H65" s="52" t="n">
        <v>0.09946</v>
      </c>
      <c r="I65" s="58" t="n">
        <v>0.1255</v>
      </c>
      <c r="J65" s="51" t="n">
        <v>0.13569365</v>
      </c>
      <c r="K65" s="54" t="n">
        <f aca="false">MIN(167*POWER(B65,-2.38),11.6*POWER(B65,-1.41))</f>
        <v>0.000130195279935664</v>
      </c>
      <c r="L65" s="55" t="n">
        <f aca="false">K65*$N$10*J65*(MAX(G65*($D$10-$D$8),0)+MAX(G65*F65*($D$9-$D$10),0)+F65*$D$11+$D$12)</f>
        <v>4.58841705642135E-007</v>
      </c>
      <c r="M65" s="55" t="n">
        <f aca="false">$K$120*0.000084*(B65/10)^(-0.45)</f>
        <v>1.01090943423866E-005</v>
      </c>
      <c r="N65" s="55" t="n">
        <f aca="false">L65+M65</f>
        <v>1.05679360480287E-005</v>
      </c>
      <c r="O65" s="56" t="n">
        <f aca="false">100*$O$5*SQRT(N65)/(C65*J65*SQRT(($O$4*B65)*$O$6))/$L$5</f>
        <v>1.0047140021933E-009</v>
      </c>
      <c r="P65" s="57" t="n">
        <f aca="false">O65*B65*B65*0.0000000016021773</f>
        <v>2.18588854152943E-013</v>
      </c>
    </row>
    <row r="66" customFormat="false" ht="12" hidden="false" customHeight="false" outlineLevel="0" collapsed="false">
      <c r="B66" s="50" t="n">
        <f aca="false">B65+6.5</f>
        <v>375</v>
      </c>
      <c r="C66" s="94" t="n">
        <f aca="false">C65-215</f>
        <v>10325</v>
      </c>
      <c r="D66" s="51" t="n">
        <v>0.2093</v>
      </c>
      <c r="E66" s="58" t="n">
        <v>0.2608</v>
      </c>
      <c r="F66" s="51" t="n">
        <f aca="false">EXP(-$C$5*$C$6*E66)</f>
        <v>0.568643488057471</v>
      </c>
      <c r="G66" s="51" t="n">
        <f aca="false">EXP(-1*D66*$C$5*$C$7)</f>
        <v>0.965751764847685</v>
      </c>
      <c r="H66" s="52" t="n">
        <v>0.09875</v>
      </c>
      <c r="I66" s="58" t="n">
        <v>0.123</v>
      </c>
      <c r="J66" s="51" t="n">
        <v>0.1335285</v>
      </c>
      <c r="K66" s="54" t="n">
        <f aca="false">MIN(167*POWER(B66,-2.38),11.6*POWER(B66,-1.41))</f>
        <v>0.000124888386268826</v>
      </c>
      <c r="L66" s="55" t="n">
        <f aca="false">K66*$N$10*J66*(MAX(G66*($D$10-$D$8),0)+MAX(G66*F66*($D$9-$D$10),0)+F66*$D$11+$D$12)</f>
        <v>4.41255429309996E-007</v>
      </c>
      <c r="M66" s="55" t="n">
        <f aca="false">$K$120*0.000084*(B66/10)^(-0.45)</f>
        <v>1.00298641467298E-005</v>
      </c>
      <c r="N66" s="55" t="n">
        <f aca="false">L66+M66</f>
        <v>1.04711195760398E-005</v>
      </c>
      <c r="O66" s="56" t="n">
        <f aca="false">100*$O$5*SQRT(N66)/(C66*J66*SQRT(($O$4*B66)*$O$6))/$L$5</f>
        <v>1.02844990692635E-009</v>
      </c>
      <c r="P66" s="57" t="n">
        <f aca="false">O66*B66*B66*0.0000000016021773</f>
        <v>2.31716122743447E-013</v>
      </c>
    </row>
    <row r="67" customFormat="false" ht="12" hidden="false" customHeight="false" outlineLevel="0" collapsed="false">
      <c r="B67" s="50" t="n">
        <f aca="false">B66+6.5</f>
        <v>381.5</v>
      </c>
      <c r="C67" s="94" t="n">
        <f aca="false">C66-215</f>
        <v>10110</v>
      </c>
      <c r="D67" s="51" t="n">
        <v>0.2033</v>
      </c>
      <c r="E67" s="58" t="n">
        <v>0.2528</v>
      </c>
      <c r="F67" s="51" t="n">
        <f aca="false">EXP(-$C$5*$C$6*E67)</f>
        <v>0.578575865037624</v>
      </c>
      <c r="G67" s="51" t="n">
        <f aca="false">EXP(-1*D67*$C$5*$C$7)</f>
        <v>0.966717032931897</v>
      </c>
      <c r="H67" s="52" t="n">
        <v>0.09805</v>
      </c>
      <c r="I67" s="58" t="n">
        <v>0.1207</v>
      </c>
      <c r="J67" s="51" t="n">
        <v>0.13136335</v>
      </c>
      <c r="K67" s="54" t="n">
        <f aca="false">MIN(167*POWER(B67,-2.38),11.6*POWER(B67,-1.41))</f>
        <v>0.000119883512920072</v>
      </c>
      <c r="L67" s="55" t="n">
        <f aca="false">K67*$N$10*J67*(MAX(G67*($D$10-$D$8),0)+MAX(G67*F67*($D$9-$D$10),0)+F67*$D$11+$D$12)</f>
        <v>4.23984065268942E-007</v>
      </c>
      <c r="M67" s="55" t="n">
        <f aca="false">$K$120*0.000084*(B67/10)^(-0.45)</f>
        <v>9.95260062185105E-006</v>
      </c>
      <c r="N67" s="55" t="n">
        <f aca="false">L67+M67</f>
        <v>1.037658468712E-005</v>
      </c>
      <c r="O67" s="56" t="n">
        <f aca="false">100*$O$5*SQRT(N67)/(C67*J67*SQRT(($O$4*B67)*$O$6))/$L$5</f>
        <v>1.05370932565225E-009</v>
      </c>
      <c r="P67" s="57" t="n">
        <f aca="false">O67*B67*B67*0.0000000016021773</f>
        <v>2.4570867080525E-013</v>
      </c>
    </row>
    <row r="68" customFormat="false" ht="12" hidden="false" customHeight="false" outlineLevel="0" collapsed="false">
      <c r="B68" s="50" t="n">
        <f aca="false">B67+6.5</f>
        <v>388</v>
      </c>
      <c r="C68" s="94" t="n">
        <f aca="false">C67-215</f>
        <v>9895</v>
      </c>
      <c r="D68" s="51" t="n">
        <v>0.1977</v>
      </c>
      <c r="E68" s="58" t="n">
        <v>0.2452</v>
      </c>
      <c r="F68" s="51" t="n">
        <f aca="false">EXP(-$C$5*$C$6*E68)</f>
        <v>0.588172268707302</v>
      </c>
      <c r="G68" s="51" t="n">
        <f aca="false">EXP(-1*D68*$C$5*$C$7)</f>
        <v>0.967618820241314</v>
      </c>
      <c r="H68" s="52" t="n">
        <v>0.09736</v>
      </c>
      <c r="I68" s="58" t="n">
        <v>0.1185</v>
      </c>
      <c r="J68" s="51" t="n">
        <v>0.1291982</v>
      </c>
      <c r="K68" s="54" t="n">
        <f aca="false">MIN(167*POWER(B68,-2.38),11.6*POWER(B68,-1.41))</f>
        <v>0.000115158755856505</v>
      </c>
      <c r="L68" s="55" t="n">
        <f aca="false">K68*$N$10*J68*(MAX(G68*($D$10-$D$8),0)+MAX(G68*F68*($D$9-$D$10),0)+F68*$D$11+$D$12)</f>
        <v>4.07206771687934E-007</v>
      </c>
      <c r="M68" s="55" t="n">
        <f aca="false">$K$120*0.000084*(B68/10)^(-0.45)</f>
        <v>9.87722267077717E-006</v>
      </c>
      <c r="N68" s="55" t="n">
        <f aca="false">L68+M68</f>
        <v>1.02844294424651E-005</v>
      </c>
      <c r="O68" s="56" t="n">
        <f aca="false">100*$O$5*SQRT(N68)/(C68*J68*SQRT(($O$4*B68)*$O$6))/$L$5</f>
        <v>1.08060811669199E-009</v>
      </c>
      <c r="P68" s="57" t="n">
        <f aca="false">O68*B68*B68*0.0000000016021773</f>
        <v>2.60640710446298E-013</v>
      </c>
    </row>
    <row r="69" customFormat="false" ht="12" hidden="false" customHeight="false" outlineLevel="0" collapsed="false">
      <c r="B69" s="50" t="n">
        <f aca="false">B68+6.5</f>
        <v>394.5</v>
      </c>
      <c r="C69" s="94" t="n">
        <f aca="false">C68-215</f>
        <v>9680</v>
      </c>
      <c r="D69" s="51" t="n">
        <v>0.1923</v>
      </c>
      <c r="E69" s="58" t="n">
        <v>0.238</v>
      </c>
      <c r="F69" s="51" t="n">
        <f aca="false">EXP(-$C$5*$C$6*E69)</f>
        <v>0.597410378839913</v>
      </c>
      <c r="G69" s="51" t="n">
        <f aca="false">EXP(-1*D69*$C$5*$C$7)</f>
        <v>0.968489197542076</v>
      </c>
      <c r="H69" s="52" t="n">
        <v>0.09669</v>
      </c>
      <c r="I69" s="58" t="n">
        <v>0.1164</v>
      </c>
      <c r="J69" s="51" t="n">
        <v>0.12703305</v>
      </c>
      <c r="K69" s="54" t="n">
        <f aca="false">MIN(167*POWER(B69,-2.38),11.6*POWER(B69,-1.41))</f>
        <v>0.000110694130485814</v>
      </c>
      <c r="L69" s="55" t="n">
        <f aca="false">K69*$N$10*J69*(MAX(G69*($D$10-$D$8),0)+MAX(G69*F69*($D$9-$D$10),0)+F69*$D$11+$D$12)</f>
        <v>3.90906169319324E-007</v>
      </c>
      <c r="M69" s="55" t="n">
        <f aca="false">$K$120*0.000084*(B69/10)^(-0.45)</f>
        <v>9.80365382766895E-006</v>
      </c>
      <c r="N69" s="55" t="n">
        <f aca="false">L69+M69</f>
        <v>1.01945599969883E-005</v>
      </c>
      <c r="O69" s="56" t="n">
        <f aca="false">100*$O$5*SQRT(N69)/(C69*J69*SQRT(($O$4*B69)*$O$6))/$L$5</f>
        <v>1.1092639646055E-009</v>
      </c>
      <c r="P69" s="57" t="n">
        <f aca="false">O69*B69*B69*0.0000000016021773</f>
        <v>2.76591923250814E-013</v>
      </c>
    </row>
    <row r="70" customFormat="false" ht="12" hidden="false" customHeight="false" outlineLevel="0" collapsed="false">
      <c r="B70" s="50" t="n">
        <f aca="false">B69+6.5</f>
        <v>401</v>
      </c>
      <c r="C70" s="94" t="n">
        <f aca="false">C69-215</f>
        <v>9465</v>
      </c>
      <c r="D70" s="51" t="n">
        <v>0.1873</v>
      </c>
      <c r="E70" s="58" t="n">
        <v>0.2313</v>
      </c>
      <c r="F70" s="51" t="n">
        <f aca="false">EXP(-$C$5*$C$6*E70)</f>
        <v>0.60613723994309</v>
      </c>
      <c r="G70" s="51" t="n">
        <f aca="false">EXP(-1*D70*$C$5*$C$7)</f>
        <v>0.969295800500926</v>
      </c>
      <c r="H70" s="52" t="n">
        <v>0.09604</v>
      </c>
      <c r="I70" s="58" t="n">
        <v>0.1144</v>
      </c>
      <c r="J70" s="51" t="n">
        <v>0</v>
      </c>
      <c r="K70" s="54" t="n">
        <f aca="false">MIN(167*POWER(B70,-2.38),11.6*POWER(B70,-1.41))</f>
        <v>0.000106471375395252</v>
      </c>
      <c r="L70" s="55" t="n">
        <f aca="false">K70*$N$10*J70*(MAX(G70*($D$10-$D$8),0)+MAX(G70*F70*($D$9-$D$10),0)+F70*$D$11+$D$12)</f>
        <v>0</v>
      </c>
      <c r="M70" s="55" t="n">
        <f aca="false">$K$120*0.000084*(B70/10)^(-0.45)</f>
        <v>9.73182192224883E-006</v>
      </c>
      <c r="N70" s="55" t="n">
        <f aca="false">L70+M70</f>
        <v>9.73182192224883E-006</v>
      </c>
      <c r="O70" s="56" t="e">
        <f aca="false">100*$O$5*SQRT(N70)/(C70*J70*SQRT(($O$4*B70)*$O$6))/$L$5</f>
        <v>#DIV/0!</v>
      </c>
      <c r="P70" s="57" t="e">
        <f aca="false">O70*B70*B70*0.0000000016021773</f>
        <v>#DIV/0!</v>
      </c>
    </row>
    <row r="71" customFormat="false" ht="12" hidden="false" customHeight="false" outlineLevel="0" collapsed="false">
      <c r="B71" s="50" t="n">
        <f aca="false">B70+6.5</f>
        <v>407.5</v>
      </c>
      <c r="C71" s="94" t="n">
        <f aca="false">C70-215</f>
        <v>9250</v>
      </c>
      <c r="D71" s="51" t="n">
        <v>0.1826</v>
      </c>
      <c r="E71" s="58" t="n">
        <v>0.2249</v>
      </c>
      <c r="F71" s="51" t="n">
        <f aca="false">EXP(-$C$5*$C$6*E71)</f>
        <v>0.614592366276432</v>
      </c>
      <c r="G71" s="51" t="n">
        <f aca="false">EXP(-1*D71*$C$5*$C$7)</f>
        <v>0.970054619797905</v>
      </c>
      <c r="H71" s="52" t="n">
        <v>0.0954</v>
      </c>
      <c r="I71" s="58" t="n">
        <v>0.1125</v>
      </c>
      <c r="J71" s="51" t="n">
        <v>0</v>
      </c>
      <c r="K71" s="54" t="n">
        <f aca="false">MIN(167*POWER(B71,-2.38),11.6*POWER(B71,-1.41))</f>
        <v>0.000102473778936699</v>
      </c>
      <c r="L71" s="55" t="n">
        <f aca="false">K71*$N$10*J71*(MAX(G71*($D$10-$D$8),0)+MAX(G71*F71*($D$9-$D$10),0)+F71*$D$11+$D$12)</f>
        <v>0</v>
      </c>
      <c r="M71" s="55" t="n">
        <f aca="false">$K$120*0.000084*(B71/10)^(-0.45)</f>
        <v>9.66165877353126E-006</v>
      </c>
      <c r="N71" s="55" t="n">
        <f aca="false">L71+M71</f>
        <v>9.66165877353126E-006</v>
      </c>
      <c r="O71" s="56" t="e">
        <f aca="false">100*$O$5*SQRT(N71)/(C71*J71*SQRT(($O$4*B71)*$O$6))/$L$5</f>
        <v>#DIV/0!</v>
      </c>
      <c r="P71" s="57" t="e">
        <f aca="false">O71*B71*B71*0.0000000016021773</f>
        <v>#DIV/0!</v>
      </c>
    </row>
    <row r="72" customFormat="false" ht="12" hidden="false" customHeight="false" outlineLevel="0" collapsed="false">
      <c r="B72" s="50" t="n">
        <f aca="false">B71+6.5</f>
        <v>414</v>
      </c>
      <c r="C72" s="94" t="n">
        <f aca="false">C71-215</f>
        <v>9035</v>
      </c>
      <c r="D72" s="51" t="n">
        <v>0.178</v>
      </c>
      <c r="E72" s="58" t="n">
        <v>0.2188</v>
      </c>
      <c r="F72" s="51" t="n">
        <f aca="false">EXP(-$C$5*$C$6*E72)</f>
        <v>0.622760913689645</v>
      </c>
      <c r="G72" s="51" t="n">
        <f aca="false">EXP(-1*D72*$C$5*$C$7)</f>
        <v>0.970797869222242</v>
      </c>
      <c r="H72" s="52" t="n">
        <v>0.09477</v>
      </c>
      <c r="I72" s="58" t="n">
        <v>0.1107</v>
      </c>
      <c r="J72" s="51" t="n">
        <v>0</v>
      </c>
      <c r="K72" s="54" t="n">
        <f aca="false">MIN(167*POWER(B72,-2.38),11.6*POWER(B72,-1.41))</f>
        <v>9.86860256849873E-005</v>
      </c>
      <c r="L72" s="55" t="n">
        <f aca="false">K72*$N$10*J72*(MAX(G72*($D$10-$D$8),0)+MAX(G72*F72*($D$9-$D$10),0)+F72*$D$11+$D$12)</f>
        <v>0</v>
      </c>
      <c r="M72" s="55" t="n">
        <f aca="false">$K$120*0.000084*(B72/10)^(-0.45)</f>
        <v>9.5930999098756E-006</v>
      </c>
      <c r="N72" s="55" t="n">
        <f aca="false">L72+M72</f>
        <v>9.5930999098756E-006</v>
      </c>
      <c r="O72" s="56" t="e">
        <f aca="false">100*$O$5*SQRT(N72)/(C72*J72*SQRT(($O$4*B72)*$O$6))/$L$5</f>
        <v>#DIV/0!</v>
      </c>
      <c r="P72" s="57" t="e">
        <f aca="false">O72*B72*B72*0.0000000016021773</f>
        <v>#DIV/0!</v>
      </c>
    </row>
    <row r="73" customFormat="false" ht="12" hidden="false" customHeight="false" outlineLevel="0" collapsed="false">
      <c r="B73" s="50" t="n">
        <f aca="false">B72+6.5</f>
        <v>420.5</v>
      </c>
      <c r="C73" s="94" t="n">
        <f aca="false">C72-215</f>
        <v>8820</v>
      </c>
      <c r="D73" s="51" t="n">
        <v>0.1738</v>
      </c>
      <c r="E73" s="58" t="n">
        <v>0.213</v>
      </c>
      <c r="F73" s="51" t="n">
        <f aca="false">EXP(-$C$5*$C$6*E73)</f>
        <v>0.630628397737361</v>
      </c>
      <c r="G73" s="51" t="n">
        <f aca="false">EXP(-1*D73*$C$5*$C$7)</f>
        <v>0.971476985597555</v>
      </c>
      <c r="H73" s="52" t="n">
        <v>0.09415</v>
      </c>
      <c r="I73" s="58" t="n">
        <v>0.109</v>
      </c>
      <c r="J73" s="51" t="n">
        <v>0</v>
      </c>
      <c r="K73" s="54" t="n">
        <f aca="false">MIN(167*POWER(B73,-2.38),11.6*POWER(B73,-1.41))</f>
        <v>9.50940602230245E-005</v>
      </c>
      <c r="L73" s="55" t="n">
        <f aca="false">K73*$N$10*J73*(MAX(G73*($D$10-$D$8),0)+MAX(G73*F73*($D$9-$D$10),0)+F73*$D$11+$D$12)</f>
        <v>0</v>
      </c>
      <c r="M73" s="55" t="n">
        <f aca="false">$K$120*0.000084*(B73/10)^(-0.45)</f>
        <v>9.52608431272558E-006</v>
      </c>
      <c r="N73" s="55" t="n">
        <f aca="false">L73+M73</f>
        <v>9.52608431272558E-006</v>
      </c>
      <c r="O73" s="56" t="e">
        <f aca="false">100*$O$5*SQRT(N73)/(C73*J73*SQRT(($O$4*B73)*$O$6))/$L$5</f>
        <v>#DIV/0!</v>
      </c>
      <c r="P73" s="57" t="e">
        <f aca="false">O73*B73*B73*0.0000000016021773</f>
        <v>#DIV/0!</v>
      </c>
    </row>
    <row r="74" customFormat="false" ht="12" hidden="false" customHeight="false" outlineLevel="0" collapsed="false">
      <c r="B74" s="50" t="n">
        <f aca="false">B73+6.5</f>
        <v>427</v>
      </c>
      <c r="C74" s="94" t="n">
        <f aca="false">C73-215</f>
        <v>8605</v>
      </c>
      <c r="D74" s="51" t="n">
        <v>0.1697</v>
      </c>
      <c r="E74" s="58" t="n">
        <v>0.2076</v>
      </c>
      <c r="F74" s="51" t="n">
        <f aca="false">EXP(-$C$5*$C$6*E74)</f>
        <v>0.638042617039928</v>
      </c>
      <c r="G74" s="51" t="n">
        <f aca="false">EXP(-1*D74*$C$5*$C$7)</f>
        <v>0.972140390772782</v>
      </c>
      <c r="H74" s="52" t="n">
        <v>0.09355</v>
      </c>
      <c r="I74" s="58" t="n">
        <v>0.1073</v>
      </c>
      <c r="J74" s="51" t="n">
        <v>0</v>
      </c>
      <c r="K74" s="54" t="n">
        <f aca="false">MIN(167*POWER(B74,-2.38),11.6*POWER(B74,-1.41))</f>
        <v>9.16849660670005E-005</v>
      </c>
      <c r="L74" s="55" t="n">
        <f aca="false">K74*$N$10*J74*(MAX(G74*($D$10-$D$8),0)+MAX(G74*F74*($D$9-$D$10),0)+F74*$D$11+$D$12)</f>
        <v>0</v>
      </c>
      <c r="M74" s="55" t="n">
        <f aca="false">$K$120*0.000084*(B74/10)^(-0.45)</f>
        <v>9.46055418169968E-006</v>
      </c>
      <c r="N74" s="55" t="n">
        <f aca="false">L74+M74</f>
        <v>9.46055418169968E-006</v>
      </c>
      <c r="O74" s="56" t="e">
        <f aca="false">100*$O$5*SQRT(N74)/(C74*J74*SQRT(($O$4*B74)*$O$6))/$L$5</f>
        <v>#DIV/0!</v>
      </c>
      <c r="P74" s="57" t="e">
        <f aca="false">O74*B74*B74*0.0000000016021773</f>
        <v>#DIV/0!</v>
      </c>
    </row>
    <row r="75" customFormat="false" ht="12" hidden="false" customHeight="false" outlineLevel="0" collapsed="false">
      <c r="B75" s="50" t="n">
        <f aca="false">B74+6.5</f>
        <v>433.5</v>
      </c>
      <c r="C75" s="94" t="n">
        <f aca="false">C74-215</f>
        <v>8390</v>
      </c>
      <c r="D75" s="51" t="n">
        <v>0.1659</v>
      </c>
      <c r="E75" s="58" t="n">
        <v>0.2024</v>
      </c>
      <c r="F75" s="51" t="n">
        <f aca="false">EXP(-$C$5*$C$6*E75)</f>
        <v>0.645264608872772</v>
      </c>
      <c r="G75" s="51" t="n">
        <f aca="false">EXP(-1*D75*$C$5*$C$7)</f>
        <v>0.972755658617481</v>
      </c>
      <c r="H75" s="52" t="n">
        <v>0.09296</v>
      </c>
      <c r="I75" s="58" t="n">
        <v>0.1058</v>
      </c>
      <c r="J75" s="51" t="n">
        <v>0</v>
      </c>
      <c r="K75" s="54" t="n">
        <f aca="false">MIN(167*POWER(B75,-2.38),11.6*POWER(B75,-1.41))</f>
        <v>8.84468578492387E-005</v>
      </c>
      <c r="L75" s="55" t="n">
        <f aca="false">K75*$N$10*J75*(MAX(G75*($D$10-$D$8),0)+MAX(G75*F75*($D$9-$D$10),0)+F75*$D$11+$D$12)</f>
        <v>0</v>
      </c>
      <c r="M75" s="55" t="n">
        <f aca="false">$K$120*0.000084*(B75/10)^(-0.45)</f>
        <v>9.39645471895882E-006</v>
      </c>
      <c r="N75" s="55" t="n">
        <f aca="false">L75+M75</f>
        <v>9.39645471895882E-006</v>
      </c>
      <c r="O75" s="56" t="e">
        <f aca="false">100*$O$5*SQRT(N75)/(C75*J75*SQRT(($O$4*B75)*$O$6))/$L$5</f>
        <v>#DIV/0!</v>
      </c>
      <c r="P75" s="57" t="e">
        <f aca="false">O75*B75*B75*0.0000000016021773</f>
        <v>#DIV/0!</v>
      </c>
    </row>
    <row r="76" customFormat="false" ht="12" hidden="false" customHeight="false" outlineLevel="0" collapsed="false">
      <c r="B76" s="50" t="n">
        <f aca="false">B75+6.5</f>
        <v>440</v>
      </c>
      <c r="C76" s="94" t="n">
        <f aca="false">C75-215</f>
        <v>8175</v>
      </c>
      <c r="D76" s="51" t="n">
        <v>0.1622</v>
      </c>
      <c r="E76" s="58" t="n">
        <v>0.1974</v>
      </c>
      <c r="F76" s="51" t="n">
        <f aca="false">EXP(-$C$5*$C$6*E76)</f>
        <v>0.652285910589636</v>
      </c>
      <c r="G76" s="51" t="n">
        <f aca="false">EXP(-1*D76*$C$5*$C$7)</f>
        <v>0.973355109367832</v>
      </c>
      <c r="H76" s="52" t="n">
        <v>0.09238</v>
      </c>
      <c r="I76" s="58" t="n">
        <v>0.1043</v>
      </c>
      <c r="J76" s="51" t="n">
        <v>0</v>
      </c>
      <c r="K76" s="54" t="n">
        <f aca="false">MIN(167*POWER(B76,-2.38),11.6*POWER(B76,-1.41))</f>
        <v>8.53687851344276E-005</v>
      </c>
      <c r="L76" s="55" t="n">
        <f aca="false">K76*$N$10*J76*(MAX(G76*($D$10-$D$8),0)+MAX(G76*F76*($D$9-$D$10),0)+F76*$D$11+$D$12)</f>
        <v>0</v>
      </c>
      <c r="M76" s="55" t="n">
        <f aca="false">$K$120*0.000084*(B76/10)^(-0.45)</f>
        <v>9.33373393100688E-006</v>
      </c>
      <c r="N76" s="55" t="n">
        <f aca="false">L76+M76</f>
        <v>9.33373393100688E-006</v>
      </c>
      <c r="O76" s="56" t="e">
        <f aca="false">100*$O$5*SQRT(N76)/(C76*J76*SQRT(($O$4*B76)*$O$6))/$L$5</f>
        <v>#DIV/0!</v>
      </c>
      <c r="P76" s="57" t="e">
        <f aca="false">O76*B76*B76*0.0000000016021773</f>
        <v>#DIV/0!</v>
      </c>
    </row>
    <row r="77" customFormat="false" ht="12" hidden="false" customHeight="false" outlineLevel="0" collapsed="false">
      <c r="B77" s="50" t="n">
        <f aca="false">B76+6.5</f>
        <v>446.5</v>
      </c>
      <c r="C77" s="94" t="n">
        <f aca="false">C76-215</f>
        <v>7960</v>
      </c>
      <c r="D77" s="51" t="n">
        <v>0.1587</v>
      </c>
      <c r="E77" s="58" t="n">
        <v>0.1927</v>
      </c>
      <c r="F77" s="51" t="n">
        <f aca="false">EXP(-$C$5*$C$6*E77)</f>
        <v>0.658955581259127</v>
      </c>
      <c r="G77" s="51" t="n">
        <f aca="false">EXP(-1*D77*$C$5*$C$7)</f>
        <v>0.973922497364436</v>
      </c>
      <c r="H77" s="52" t="n">
        <v>0.09181</v>
      </c>
      <c r="I77" s="58" t="n">
        <v>0.1028</v>
      </c>
      <c r="J77" s="51" t="n">
        <v>0</v>
      </c>
      <c r="K77" s="54" t="n">
        <f aca="false">MIN(167*POWER(B77,-2.38),11.6*POWER(B77,-1.41))</f>
        <v>8.24406464644817E-005</v>
      </c>
      <c r="L77" s="55" t="n">
        <f aca="false">K77*$N$10*J77*(MAX(G77*($D$10-$D$8),0)+MAX(G77*F77*($D$9-$D$10),0)+F77*$D$11+$D$12)</f>
        <v>0</v>
      </c>
      <c r="M77" s="55" t="n">
        <f aca="false">$K$120*0.000084*(B77/10)^(-0.45)</f>
        <v>9.27234244628058E-006</v>
      </c>
      <c r="N77" s="55" t="n">
        <f aca="false">L77+M77</f>
        <v>9.27234244628058E-006</v>
      </c>
      <c r="O77" s="56" t="e">
        <f aca="false">100*$O$5*SQRT(N77)/(C77*J77*SQRT(($O$4*B77)*$O$6))/$L$5</f>
        <v>#DIV/0!</v>
      </c>
      <c r="P77" s="57" t="e">
        <f aca="false">O77*B77*B77*0.0000000016021773</f>
        <v>#DIV/0!</v>
      </c>
    </row>
    <row r="78" customFormat="false" ht="12" hidden="false" customHeight="false" outlineLevel="0" collapsed="false">
      <c r="B78" s="50" t="n">
        <f aca="false">B77+6.5</f>
        <v>453</v>
      </c>
      <c r="C78" s="94" t="n">
        <f aca="false">C77-215</f>
        <v>7745</v>
      </c>
      <c r="D78" s="51" t="n">
        <v>0.1554</v>
      </c>
      <c r="E78" s="58" t="n">
        <v>0.1883</v>
      </c>
      <c r="F78" s="51" t="n">
        <f aca="false">EXP(-$C$5*$C$6*E78)</f>
        <v>0.665261322068812</v>
      </c>
      <c r="G78" s="51" t="n">
        <f aca="false">EXP(-1*D78*$C$5*$C$7)</f>
        <v>0.974457766118855</v>
      </c>
      <c r="H78" s="52" t="n">
        <v>0.09125</v>
      </c>
      <c r="I78" s="58" t="n">
        <v>0.1014</v>
      </c>
      <c r="J78" s="51" t="n">
        <v>0</v>
      </c>
      <c r="K78" s="54" t="n">
        <f aca="false">MIN(167*POWER(B78,-2.38),11.6*POWER(B78,-1.41))</f>
        <v>7.96531124144557E-005</v>
      </c>
      <c r="L78" s="55" t="n">
        <f aca="false">K78*$N$10*J78*(MAX(G78*($D$10-$D$8),0)+MAX(G78*F78*($D$9-$D$10),0)+F78*$D$11+$D$12)</f>
        <v>0</v>
      </c>
      <c r="M78" s="55" t="n">
        <f aca="false">$K$120*0.000084*(B78/10)^(-0.45)</f>
        <v>9.21223334706124E-006</v>
      </c>
      <c r="N78" s="55" t="n">
        <f aca="false">L78+M78</f>
        <v>9.21223334706124E-006</v>
      </c>
      <c r="O78" s="56" t="e">
        <f aca="false">100*$O$5*SQRT(N78)/(C78*J78*SQRT(($O$4*B78)*$O$6))/$L$5</f>
        <v>#DIV/0!</v>
      </c>
      <c r="P78" s="57" t="e">
        <f aca="false">O78*B78*B78*0.0000000016021773</f>
        <v>#DIV/0!</v>
      </c>
    </row>
    <row r="79" customFormat="false" ht="12" hidden="false" customHeight="false" outlineLevel="0" collapsed="false">
      <c r="B79" s="50" t="n">
        <f aca="false">B78+6.5</f>
        <v>459.5</v>
      </c>
      <c r="C79" s="94" t="n">
        <f aca="false">C78-215</f>
        <v>7530</v>
      </c>
      <c r="D79" s="51" t="n">
        <v>0.1522</v>
      </c>
      <c r="E79" s="58" t="n">
        <v>0.184</v>
      </c>
      <c r="F79" s="51" t="n">
        <f aca="false">EXP(-$C$5*$C$6*E79)</f>
        <v>0.671482046357169</v>
      </c>
      <c r="G79" s="51" t="n">
        <f aca="false">EXP(-1*D79*$C$5*$C$7)</f>
        <v>0.97497709555372</v>
      </c>
      <c r="H79" s="52" t="n">
        <v>0.0907</v>
      </c>
      <c r="I79" s="58" t="n">
        <v>0.1001</v>
      </c>
      <c r="J79" s="51" t="n">
        <v>0</v>
      </c>
      <c r="K79" s="54" t="n">
        <f aca="false">MIN(167*POWER(B79,-2.38),11.6*POWER(B79,-1.41))</f>
        <v>7.69975566018863E-005</v>
      </c>
      <c r="L79" s="55" t="n">
        <f aca="false">K79*$N$10*J79*(MAX(G79*($D$10-$D$8),0)+MAX(G79*F79*($D$9-$D$10),0)+F79*$D$11+$D$12)</f>
        <v>0</v>
      </c>
      <c r="M79" s="55" t="n">
        <f aca="false">$K$120*0.000084*(B79/10)^(-0.45)</f>
        <v>9.15336201439682E-006</v>
      </c>
      <c r="N79" s="55" t="n">
        <f aca="false">L79+M79</f>
        <v>9.15336201439682E-006</v>
      </c>
      <c r="O79" s="56" t="e">
        <f aca="false">100*$O$5*SQRT(N79)/(C79*J79*SQRT(($O$4*B79)*$O$6))/$L$5</f>
        <v>#DIV/0!</v>
      </c>
      <c r="P79" s="57" t="e">
        <f aca="false">O79*B79*B79*0.0000000016021773</f>
        <v>#DIV/0!</v>
      </c>
    </row>
    <row r="80" customFormat="false" ht="12" hidden="false" customHeight="false" outlineLevel="0" collapsed="false">
      <c r="B80" s="50" t="n">
        <f aca="false">B79+6.5</f>
        <v>466</v>
      </c>
      <c r="C80" s="94" t="n">
        <f aca="false">C79-215</f>
        <v>7315</v>
      </c>
      <c r="D80" s="51" t="n">
        <v>0.1491</v>
      </c>
      <c r="E80" s="58" t="n">
        <v>0.1799</v>
      </c>
      <c r="F80" s="51" t="n">
        <f aca="false">EXP(-$C$5*$C$6*E80)</f>
        <v>0.677467600169408</v>
      </c>
      <c r="G80" s="51" t="n">
        <f aca="false">EXP(-1*D80*$C$5*$C$7)</f>
        <v>0.975480459876162</v>
      </c>
      <c r="H80" s="52" t="n">
        <v>0.09016</v>
      </c>
      <c r="I80" s="58" t="n">
        <v>0.09884</v>
      </c>
      <c r="J80" s="51" t="n">
        <v>0</v>
      </c>
      <c r="K80" s="54" t="n">
        <f aca="false">MIN(167*POWER(B80,-2.38),11.6*POWER(B80,-1.41))</f>
        <v>7.44659937289618E-005</v>
      </c>
      <c r="L80" s="55" t="n">
        <f aca="false">K80*$N$10*J80*(MAX(G80*($D$10-$D$8),0)+MAX(G80*F80*($D$9-$D$10),0)+F80*$D$11+$D$12)</f>
        <v>0</v>
      </c>
      <c r="M80" s="55" t="n">
        <f aca="false">$K$120*0.000084*(B80/10)^(-0.45)</f>
        <v>9.09568598485892E-006</v>
      </c>
      <c r="N80" s="55" t="n">
        <f aca="false">L80+M80</f>
        <v>9.09568598485892E-006</v>
      </c>
      <c r="O80" s="56" t="e">
        <f aca="false">100*$O$5*SQRT(N80)/(C80*J80*SQRT(($O$4*B80)*$O$6))/$L$5</f>
        <v>#DIV/0!</v>
      </c>
      <c r="P80" s="57" t="e">
        <f aca="false">O80*B80*B80*0.0000000016021773</f>
        <v>#DIV/0!</v>
      </c>
      <c r="S80" s="59"/>
    </row>
    <row r="81" customFormat="false" ht="12" hidden="false" customHeight="false" outlineLevel="0" collapsed="false">
      <c r="B81" s="50" t="n">
        <f aca="false">B80+6.5</f>
        <v>472.5</v>
      </c>
      <c r="C81" s="94" t="n">
        <f aca="false">C80-215</f>
        <v>7100</v>
      </c>
      <c r="D81" s="51" t="n">
        <v>0.1462</v>
      </c>
      <c r="E81" s="58" t="n">
        <v>0.176</v>
      </c>
      <c r="F81" s="51" t="n">
        <f aca="false">EXP(-$C$5*$C$6*E81)</f>
        <v>0.683210682945635</v>
      </c>
      <c r="G81" s="51" t="n">
        <f aca="false">EXP(-1*D81*$C$5*$C$7)</f>
        <v>0.975951584348285</v>
      </c>
      <c r="H81" s="52" t="n">
        <v>0.08963</v>
      </c>
      <c r="I81" s="58" t="n">
        <v>0.09761</v>
      </c>
      <c r="J81" s="51" t="n">
        <f aca="false">J80</f>
        <v>0</v>
      </c>
      <c r="K81" s="54" t="n">
        <f aca="false">MIN(167*POWER(B81,-2.38),11.6*POWER(B81,-1.41))</f>
        <v>7.20510238545666E-005</v>
      </c>
      <c r="L81" s="55" t="n">
        <f aca="false">K81*$N$10*J81*(MAX(G81*($D$10-$D$8),0)+MAX(G81*F81*($D$9-$D$10),0)+F81*$D$11+$D$12)</f>
        <v>0</v>
      </c>
      <c r="M81" s="55" t="n">
        <f aca="false">$K$120*0.000084*(B81/10)^(-0.45)</f>
        <v>9.03916481808061E-006</v>
      </c>
      <c r="N81" s="55" t="n">
        <f aca="false">L81+M81</f>
        <v>9.03916481808061E-006</v>
      </c>
      <c r="O81" s="56" t="e">
        <f aca="false">100*$O$5*SQRT(N81)/(C81*J81*SQRT(($O$4*B81)*$O$6))/$L$5</f>
        <v>#DIV/0!</v>
      </c>
      <c r="P81" s="57" t="e">
        <f aca="false">O81*B81*B81*0.0000000016021773</f>
        <v>#DIV/0!</v>
      </c>
      <c r="S81" s="59"/>
    </row>
    <row r="82" customFormat="false" ht="12" hidden="false" customHeight="false" outlineLevel="0" collapsed="false">
      <c r="B82" s="50" t="n">
        <f aca="false">B81+6.5</f>
        <v>479</v>
      </c>
      <c r="C82" s="94" t="n">
        <f aca="false">C81-215</f>
        <v>6885</v>
      </c>
      <c r="D82" s="51" t="n">
        <v>0.1434</v>
      </c>
      <c r="E82" s="58" t="n">
        <v>0.1723</v>
      </c>
      <c r="F82" s="51" t="n">
        <f aca="false">EXP(-$C$5*$C$6*E82)</f>
        <v>0.688704246834457</v>
      </c>
      <c r="G82" s="51" t="n">
        <f aca="false">EXP(-1*D82*$C$5*$C$7)</f>
        <v>0.976406679051241</v>
      </c>
      <c r="H82" s="52" t="n">
        <v>0.08911</v>
      </c>
      <c r="I82" s="58" t="n">
        <v>0.09643</v>
      </c>
      <c r="J82" s="51" t="n">
        <f aca="false">J81</f>
        <v>0</v>
      </c>
      <c r="K82" s="54" t="n">
        <f aca="false">MIN(167*POWER(B82,-2.38),11.6*POWER(B82,-1.41))</f>
        <v>6.97457821944812E-005</v>
      </c>
      <c r="L82" s="55" t="n">
        <f aca="false">K82*$N$10*J82*(MAX(G82*($D$10-$D$8),0)+MAX(G82*F82*($D$9-$D$10),0)+F82*$D$11+$D$12)</f>
        <v>0</v>
      </c>
      <c r="M82" s="55" t="n">
        <f aca="false">$K$120*0.000084*(B82/10)^(-0.45)</f>
        <v>8.98375997412797E-006</v>
      </c>
      <c r="N82" s="55" t="n">
        <f aca="false">L82+M82</f>
        <v>8.98375997412797E-006</v>
      </c>
      <c r="O82" s="56" t="e">
        <f aca="false">100*$O$5*SQRT(N82)/(C82*J82*SQRT(($O$4*B82)*$O$6))/$L$5</f>
        <v>#DIV/0!</v>
      </c>
      <c r="P82" s="57" t="e">
        <f aca="false">O82*B82*B82*0.0000000016021773</f>
        <v>#DIV/0!</v>
      </c>
      <c r="S82" s="59"/>
    </row>
    <row r="83" customFormat="false" ht="12" hidden="false" customHeight="false" outlineLevel="0" collapsed="false">
      <c r="B83" s="50" t="n">
        <f aca="false">B82+6.5</f>
        <v>485.5</v>
      </c>
      <c r="C83" s="94" t="n">
        <f aca="false">C82-215</f>
        <v>6670</v>
      </c>
      <c r="D83" s="51" t="n">
        <v>0.1408</v>
      </c>
      <c r="E83" s="58" t="n">
        <v>0.1688</v>
      </c>
      <c r="F83" s="51" t="n">
        <f aca="false">EXP(-$C$5*$C$6*E83)</f>
        <v>0.693941511086683</v>
      </c>
      <c r="G83" s="51" t="n">
        <f aca="false">EXP(-1*D83*$C$5*$C$7)</f>
        <v>0.976829457006288</v>
      </c>
      <c r="H83" s="52" t="n">
        <v>0.08859</v>
      </c>
      <c r="I83" s="58" t="n">
        <v>0.0953</v>
      </c>
      <c r="J83" s="51" t="n">
        <f aca="false">J82</f>
        <v>0</v>
      </c>
      <c r="K83" s="54" t="n">
        <f aca="false">MIN(167*POWER(B83,-2.38),11.6*POWER(B83,-1.41))</f>
        <v>6.75438938353123E-005</v>
      </c>
      <c r="L83" s="55" t="n">
        <f aca="false">K83*$N$10*J83*(MAX(G83*($D$10-$D$8),0)+MAX(G83*F83*($D$9-$D$10),0)+F83*$D$11+$D$12)</f>
        <v>0</v>
      </c>
      <c r="M83" s="55" t="n">
        <f aca="false">$K$120*0.000084*(B83/10)^(-0.45)</f>
        <v>8.92943469985284E-006</v>
      </c>
      <c r="N83" s="55" t="n">
        <f aca="false">L83+M83</f>
        <v>8.92943469985284E-006</v>
      </c>
      <c r="O83" s="56" t="e">
        <f aca="false">100*$O$5*SQRT(N83)/(C83*J83*SQRT(($O$4*B83)*$O$6))/$L$5</f>
        <v>#DIV/0!</v>
      </c>
      <c r="P83" s="57" t="e">
        <f aca="false">O83*B83*B83*0.0000000016021773</f>
        <v>#DIV/0!</v>
      </c>
      <c r="S83" s="59"/>
    </row>
    <row r="84" customFormat="false" ht="12" hidden="false" customHeight="false" outlineLevel="0" collapsed="false">
      <c r="B84" s="50" t="n">
        <f aca="false">B83+6.5</f>
        <v>492</v>
      </c>
      <c r="C84" s="94" t="n">
        <f aca="false">C83-215</f>
        <v>6455</v>
      </c>
      <c r="D84" s="51" t="n">
        <v>0.1382</v>
      </c>
      <c r="E84" s="58" t="n">
        <v>0.1653</v>
      </c>
      <c r="F84" s="51" t="n">
        <f aca="false">EXP(-$C$5*$C$6*E84)</f>
        <v>0.699218602212307</v>
      </c>
      <c r="G84" s="51" t="n">
        <f aca="false">EXP(-1*D84*$C$5*$C$7)</f>
        <v>0.977252418021533</v>
      </c>
      <c r="H84" s="52" t="n">
        <v>0.08809</v>
      </c>
      <c r="I84" s="58" t="n">
        <v>0.09421</v>
      </c>
      <c r="J84" s="51" t="n">
        <f aca="false">J83</f>
        <v>0</v>
      </c>
      <c r="K84" s="54" t="n">
        <f aca="false">MIN(167*POWER(B84,-2.38),11.6*POWER(B84,-1.41))</f>
        <v>6.54394328231702E-005</v>
      </c>
      <c r="L84" s="55" t="n">
        <f aca="false">K84*$N$10*J84*(MAX(G84*($D$10-$D$8),0)+MAX(G84*F84*($D$9-$D$10),0)+F84*$D$11+$D$12)</f>
        <v>0</v>
      </c>
      <c r="M84" s="55" t="n">
        <f aca="false">$K$120*0.000084*(B84/10)^(-0.45)</f>
        <v>8.87615392345872E-006</v>
      </c>
      <c r="N84" s="55" t="n">
        <f aca="false">L84+M84</f>
        <v>8.87615392345872E-006</v>
      </c>
      <c r="O84" s="56" t="e">
        <f aca="false">100*$O$5*SQRT(N84)/(C84*J84*SQRT(($O$4*B84)*$O$6))/$L$5</f>
        <v>#DIV/0!</v>
      </c>
      <c r="P84" s="57" t="e">
        <f aca="false">O84*B84*B84*0.0000000016021773</f>
        <v>#DIV/0!</v>
      </c>
      <c r="S84" s="59"/>
    </row>
    <row r="85" customFormat="false" ht="12" hidden="false" customHeight="false" outlineLevel="0" collapsed="false">
      <c r="B85" s="50" t="n">
        <f aca="false">B84+6.5</f>
        <v>498.5</v>
      </c>
      <c r="C85" s="94" t="n">
        <f aca="false">C84-215</f>
        <v>6240</v>
      </c>
      <c r="D85" s="51" t="n">
        <v>0.1358</v>
      </c>
      <c r="E85" s="58" t="n">
        <v>0.1621</v>
      </c>
      <c r="F85" s="51" t="n">
        <f aca="false">EXP(-$C$5*$C$6*E85)</f>
        <v>0.704078481242344</v>
      </c>
      <c r="G85" s="51" t="n">
        <f aca="false">EXP(-1*D85*$C$5*$C$7)</f>
        <v>0.977643006122079</v>
      </c>
      <c r="H85" s="52" t="n">
        <v>0.08759</v>
      </c>
      <c r="I85" s="58" t="n">
        <v>0.09315</v>
      </c>
      <c r="J85" s="51" t="n">
        <f aca="false">J84</f>
        <v>0</v>
      </c>
      <c r="K85" s="54" t="n">
        <f aca="false">MIN(167*POWER(B85,-2.38),11.6*POWER(B85,-1.41))</f>
        <v>6.34268851534242E-005</v>
      </c>
      <c r="L85" s="55" t="n">
        <f aca="false">K85*$N$10*J85*(MAX(G85*($D$10-$D$8),0)+MAX(G85*F85*($D$9-$D$10),0)+F85*$D$11+$D$12)</f>
        <v>0</v>
      </c>
      <c r="M85" s="55" t="n">
        <f aca="false">$K$120*0.000084*(B85/10)^(-0.45)</f>
        <v>8.82388415658651E-006</v>
      </c>
      <c r="N85" s="55" t="n">
        <f aca="false">L85+M85</f>
        <v>8.82388415658651E-006</v>
      </c>
      <c r="O85" s="56" t="e">
        <f aca="false">100*$O$5*SQRT(N85)/(C85*J85*SQRT(($O$4*B85)*$O$6))/$L$5</f>
        <v>#DIV/0!</v>
      </c>
      <c r="P85" s="57" t="e">
        <f aca="false">O85*B85*B85*0.0000000016021773</f>
        <v>#DIV/0!</v>
      </c>
      <c r="S85" s="59"/>
    </row>
    <row r="86" customFormat="false" ht="12" hidden="false" customHeight="false" outlineLevel="0" collapsed="false">
      <c r="B86" s="50" t="n">
        <f aca="false">B85+6.5</f>
        <v>505</v>
      </c>
      <c r="C86" s="94" t="n">
        <f aca="false">C85-215</f>
        <v>6025</v>
      </c>
      <c r="D86" s="51" t="n">
        <v>0.1335</v>
      </c>
      <c r="E86" s="58" t="n">
        <v>0.159</v>
      </c>
      <c r="F86" s="51" t="n">
        <f aca="false">EXP(-$C$5*$C$6*E86)</f>
        <v>0.708818698171794</v>
      </c>
      <c r="G86" s="51" t="n">
        <f aca="false">EXP(-1*D86*$C$5*$C$7)</f>
        <v>0.978017466206442</v>
      </c>
      <c r="H86" s="52" t="n">
        <v>0.08711</v>
      </c>
      <c r="I86" s="58" t="n">
        <v>0.09213</v>
      </c>
      <c r="J86" s="51" t="n">
        <f aca="false">J85</f>
        <v>0</v>
      </c>
      <c r="K86" s="54" t="n">
        <f aca="false">MIN(167*POWER(B86,-2.38),11.6*POWER(B86,-1.41))</f>
        <v>6.15011152445437E-005</v>
      </c>
      <c r="L86" s="55" t="n">
        <f aca="false">K86*$N$10*J86*(MAX(G86*($D$10-$D$8),0)+MAX(G86*F86*($D$9-$D$10),0)+F86*$D$11+$D$12)</f>
        <v>0</v>
      </c>
      <c r="M86" s="55" t="n">
        <f aca="false">$K$120*0.000084*(B86/10)^(-0.45)</f>
        <v>8.77259340329355E-006</v>
      </c>
      <c r="N86" s="55" t="n">
        <f aca="false">L86+M86</f>
        <v>8.77259340329355E-006</v>
      </c>
      <c r="O86" s="56" t="e">
        <f aca="false">100*$O$5*SQRT(N86)/(C86*J86*SQRT(($O$4*B86)*$O$6))/$L$5</f>
        <v>#DIV/0!</v>
      </c>
      <c r="P86" s="57" t="e">
        <f aca="false">O86*B86*B86*0.0000000016021773</f>
        <v>#DIV/0!</v>
      </c>
      <c r="S86" s="59"/>
    </row>
    <row r="87" customFormat="false" ht="12" hidden="false" customHeight="false" outlineLevel="0" collapsed="false">
      <c r="B87" s="50" t="n">
        <f aca="false">B86+6.5</f>
        <v>511.5</v>
      </c>
      <c r="C87" s="94" t="n">
        <f aca="false">C86-215</f>
        <v>5810</v>
      </c>
      <c r="D87" s="51" t="n">
        <v>0.1312</v>
      </c>
      <c r="E87" s="58" t="n">
        <v>0.156</v>
      </c>
      <c r="F87" s="51" t="n">
        <f aca="false">EXP(-$C$5*$C$6*E87)</f>
        <v>0.713436388649324</v>
      </c>
      <c r="G87" s="51" t="n">
        <f aca="false">EXP(-1*D87*$C$5*$C$7)</f>
        <v>0.978392069717755</v>
      </c>
      <c r="H87" s="52" t="n">
        <v>0.08663</v>
      </c>
      <c r="I87" s="58" t="n">
        <v>0.09115</v>
      </c>
      <c r="J87" s="51" t="n">
        <f aca="false">J86</f>
        <v>0</v>
      </c>
      <c r="K87" s="54" t="n">
        <f aca="false">MIN(167*POWER(B87,-2.38),11.6*POWER(B87,-1.41))</f>
        <v>5.96573355282931E-005</v>
      </c>
      <c r="L87" s="55" t="n">
        <f aca="false">K87*$N$10*J87*(MAX(G87*($D$10-$D$8),0)+MAX(G87*F87*($D$9-$D$10),0)+F87*$D$11+$D$12)</f>
        <v>0</v>
      </c>
      <c r="M87" s="55" t="n">
        <f aca="false">$K$120*0.000084*(B87/10)^(-0.45)</f>
        <v>8.72225107535885E-006</v>
      </c>
      <c r="N87" s="55" t="n">
        <f aca="false">L87+M87</f>
        <v>8.72225107535885E-006</v>
      </c>
      <c r="O87" s="56" t="e">
        <f aca="false">100*$O$5*SQRT(N87)/(C87*J87*SQRT(($O$4*B87)*$O$6))/$L$5</f>
        <v>#DIV/0!</v>
      </c>
      <c r="P87" s="57" t="e">
        <f aca="false">O87*B87*B87*0.0000000016021773</f>
        <v>#DIV/0!</v>
      </c>
      <c r="S87" s="59"/>
    </row>
    <row r="88" customFormat="false" ht="12" hidden="false" customHeight="false" outlineLevel="0" collapsed="false">
      <c r="B88" s="50" t="n">
        <f aca="false">B87+6.5</f>
        <v>518</v>
      </c>
      <c r="C88" s="94" t="n">
        <f aca="false">C87-215</f>
        <v>5595</v>
      </c>
      <c r="D88" s="51" t="n">
        <v>0.129</v>
      </c>
      <c r="E88" s="58" t="n">
        <v>0.1531</v>
      </c>
      <c r="F88" s="51" t="n">
        <f aca="false">EXP(-$C$5*$C$6*E88)</f>
        <v>0.717928749168077</v>
      </c>
      <c r="G88" s="51" t="n">
        <f aca="false">EXP(-1*D88*$C$5*$C$7)</f>
        <v>0.978750520379124</v>
      </c>
      <c r="H88" s="52" t="n">
        <v>0.08616</v>
      </c>
      <c r="I88" s="58" t="n">
        <v>0.0902</v>
      </c>
      <c r="J88" s="51" t="n">
        <f aca="false">J87</f>
        <v>0</v>
      </c>
      <c r="K88" s="54" t="n">
        <f aca="false">MIN(167*POWER(B88,-2.38),11.6*POWER(B88,-1.41))</f>
        <v>5.78910788314517E-005</v>
      </c>
      <c r="L88" s="55" t="n">
        <f aca="false">K88*$N$10*J88*(MAX(G88*($D$10-$D$8),0)+MAX(G88*F88*($D$9-$D$10),0)+F88*$D$11+$D$12)</f>
        <v>0</v>
      </c>
      <c r="M88" s="55" t="n">
        <f aca="false">$K$120*0.000084*(B88/10)^(-0.45)</f>
        <v>8.67282791340091E-006</v>
      </c>
      <c r="N88" s="55" t="n">
        <f aca="false">L88+M88</f>
        <v>8.67282791340091E-006</v>
      </c>
      <c r="O88" s="56" t="e">
        <f aca="false">100*$O$5*SQRT(N88)/(C88*J88*SQRT(($O$4*B88)*$O$6))/$L$5</f>
        <v>#DIV/0!</v>
      </c>
      <c r="P88" s="57" t="e">
        <f aca="false">O88*B88*B88*0.0000000016021773</f>
        <v>#DIV/0!</v>
      </c>
      <c r="S88" s="59"/>
    </row>
    <row r="89" customFormat="false" ht="12" hidden="false" customHeight="false" outlineLevel="0" collapsed="false">
      <c r="B89" s="50" t="n">
        <f aca="false">B88+6.5</f>
        <v>524.5</v>
      </c>
      <c r="C89" s="94" t="n">
        <f aca="false">C88-215</f>
        <v>5380</v>
      </c>
      <c r="D89" s="51" t="n">
        <v>0.127</v>
      </c>
      <c r="E89" s="58" t="n">
        <v>0.1503</v>
      </c>
      <c r="F89" s="51" t="n">
        <f aca="false">EXP(-$C$5*$C$6*E89)</f>
        <v>0.722293039896804</v>
      </c>
      <c r="G89" s="51" t="n">
        <f aca="false">EXP(-1*D89*$C$5*$C$7)</f>
        <v>0.979076498574767</v>
      </c>
      <c r="H89" s="52" t="n">
        <v>0.08569</v>
      </c>
      <c r="I89" s="58" t="n">
        <v>0.08928</v>
      </c>
      <c r="J89" s="51" t="n">
        <f aca="false">J88</f>
        <v>0</v>
      </c>
      <c r="K89" s="54" t="n">
        <f aca="false">MIN(167*POWER(B89,-2.38),11.6*POWER(B89,-1.41))</f>
        <v>5.61981732616637E-005</v>
      </c>
      <c r="L89" s="55" t="n">
        <f aca="false">K89*$N$10*J89*(MAX(G89*($D$10-$D$8),0)+MAX(G89*F89*($D$9-$D$10),0)+F89*$D$11+$D$12)</f>
        <v>0</v>
      </c>
      <c r="M89" s="55" t="n">
        <f aca="false">$K$120*0.000084*(B89/10)^(-0.45)</f>
        <v>8.62429591334162E-006</v>
      </c>
      <c r="N89" s="55" t="n">
        <f aca="false">L89+M89</f>
        <v>8.62429591334162E-006</v>
      </c>
      <c r="O89" s="56" t="e">
        <f aca="false">100*$O$5*SQRT(N89)/(C89*J89*SQRT(($O$4*B89)*$O$6))/$L$5</f>
        <v>#DIV/0!</v>
      </c>
      <c r="P89" s="57" t="e">
        <f aca="false">O89*B89*B89*0.0000000016021773</f>
        <v>#DIV/0!</v>
      </c>
      <c r="S89" s="59"/>
    </row>
    <row r="90" customFormat="false" ht="12" hidden="false" customHeight="false" outlineLevel="0" collapsed="false">
      <c r="B90" s="50" t="n">
        <f aca="false">B89+6.5</f>
        <v>531</v>
      </c>
      <c r="C90" s="94" t="n">
        <f aca="false">C89-215</f>
        <v>5165</v>
      </c>
      <c r="D90" s="51" t="n">
        <v>0.125</v>
      </c>
      <c r="E90" s="58" t="n">
        <v>0.1476</v>
      </c>
      <c r="F90" s="51" t="n">
        <f aca="false">EXP(-$C$5*$C$6*E90)</f>
        <v>0.726526587460006</v>
      </c>
      <c r="G90" s="51" t="n">
        <f aca="false">EXP(-1*D90*$C$5*$C$7)</f>
        <v>0.979402585339226</v>
      </c>
      <c r="H90" s="52" t="n">
        <v>0.08523</v>
      </c>
      <c r="I90" s="58" t="n">
        <v>0.08839</v>
      </c>
      <c r="J90" s="51" t="n">
        <f aca="false">J89</f>
        <v>0</v>
      </c>
      <c r="K90" s="54" t="n">
        <f aca="false">MIN(167*POWER(B90,-2.38),11.6*POWER(B90,-1.41))</f>
        <v>5.45747193427377E-005</v>
      </c>
      <c r="L90" s="55" t="n">
        <f aca="false">K90*$N$10*J90*(MAX(G90*($D$10-$D$8),0)+MAX(G90*F90*($D$9-$D$10),0)+F90*$D$11+$D$12)</f>
        <v>0</v>
      </c>
      <c r="M90" s="55" t="n">
        <f aca="false">$K$120*0.000084*(B90/10)^(-0.45)</f>
        <v>8.57662825779291E-006</v>
      </c>
      <c r="N90" s="55" t="n">
        <f aca="false">L90+M90</f>
        <v>8.57662825779291E-006</v>
      </c>
      <c r="O90" s="56" t="e">
        <f aca="false">100*$O$5*SQRT(N90)/(C90*J90*SQRT(($O$4*B90)*$O$6))/$L$5</f>
        <v>#DIV/0!</v>
      </c>
      <c r="P90" s="57" t="e">
        <f aca="false">O90*B90*B90*0.0000000016021773</f>
        <v>#DIV/0!</v>
      </c>
      <c r="S90" s="59"/>
    </row>
    <row r="91" customFormat="false" ht="12" hidden="false" customHeight="false" outlineLevel="0" collapsed="false">
      <c r="B91" s="50" t="n">
        <f aca="false">B90+6.5</f>
        <v>537.5</v>
      </c>
      <c r="C91" s="94" t="n">
        <f aca="false">C90-215</f>
        <v>4950</v>
      </c>
      <c r="D91" s="51" t="n">
        <v>0.123</v>
      </c>
      <c r="E91" s="58" t="n">
        <v>0.1451</v>
      </c>
      <c r="F91" s="51" t="n">
        <f aca="false">EXP(-$C$5*$C$6*E91)</f>
        <v>0.730468660608875</v>
      </c>
      <c r="G91" s="51" t="n">
        <f aca="false">EXP(-1*D91*$C$5*$C$7)</f>
        <v>0.979728780708658</v>
      </c>
      <c r="H91" s="52" t="n">
        <v>0.08478</v>
      </c>
      <c r="I91" s="58" t="n">
        <v>0.08753</v>
      </c>
      <c r="J91" s="51" t="n">
        <f aca="false">J90</f>
        <v>0</v>
      </c>
      <c r="K91" s="54" t="n">
        <f aca="false">MIN(167*POWER(B91,-2.38),11.6*POWER(B91,-1.41))</f>
        <v>5.30170691733607E-005</v>
      </c>
      <c r="L91" s="55" t="n">
        <f aca="false">K91*$N$10*J91*(MAX(G91*($D$10-$D$8),0)+MAX(G91*F91*($D$9-$D$10),0)+F91*$D$11+$D$12)</f>
        <v>0</v>
      </c>
      <c r="M91" s="55" t="n">
        <f aca="false">$K$120*0.000084*(B91/10)^(-0.45)</f>
        <v>8.52979925198073E-006</v>
      </c>
      <c r="N91" s="55" t="n">
        <f aca="false">L91+M91</f>
        <v>8.52979925198073E-006</v>
      </c>
      <c r="O91" s="56" t="e">
        <f aca="false">100*$O$5*SQRT(N91)/(C91*J91*SQRT(($O$4*B91)*$O$6))/$L$5</f>
        <v>#DIV/0!</v>
      </c>
      <c r="P91" s="57" t="e">
        <f aca="false">O91*B91*B91*0.0000000016021773</f>
        <v>#DIV/0!</v>
      </c>
      <c r="S91" s="59"/>
    </row>
    <row r="92" customFormat="false" ht="12" hidden="false" customHeight="false" outlineLevel="0" collapsed="false">
      <c r="B92" s="50" t="n">
        <f aca="false">B91+6.5</f>
        <v>544</v>
      </c>
      <c r="C92" s="94" t="n">
        <f aca="false">C91-215</f>
        <v>4735</v>
      </c>
      <c r="D92" s="51" t="n">
        <v>0.1212</v>
      </c>
      <c r="E92" s="58" t="n">
        <v>0.1426</v>
      </c>
      <c r="F92" s="51" t="n">
        <f aca="false">EXP(-$C$5*$C$6*E92)</f>
        <v>0.734432123120471</v>
      </c>
      <c r="G92" s="51" t="n">
        <f aca="false">EXP(-1*D92*$C$5*$C$7)</f>
        <v>0.980022449428296</v>
      </c>
      <c r="H92" s="52" t="n">
        <v>0.08434</v>
      </c>
      <c r="I92" s="58" t="n">
        <v>0.08669</v>
      </c>
      <c r="J92" s="51" t="n">
        <f aca="false">J91</f>
        <v>0</v>
      </c>
      <c r="K92" s="54" t="n">
        <f aca="false">MIN(167*POWER(B92,-2.38),11.6*POWER(B92,-1.41))</f>
        <v>5.15218074083152E-005</v>
      </c>
      <c r="L92" s="55" t="n">
        <f aca="false">K92*$N$10*J92*(MAX(G92*($D$10-$D$8),0)+MAX(G92*F92*($D$9-$D$10),0)+F92*$D$11+$D$12)</f>
        <v>0</v>
      </c>
      <c r="M92" s="55" t="n">
        <f aca="false">$K$120*0.000084*(B92/10)^(-0.45)</f>
        <v>8.48378426385564E-006</v>
      </c>
      <c r="N92" s="55" t="n">
        <f aca="false">L92+M92</f>
        <v>8.48378426385564E-006</v>
      </c>
      <c r="O92" s="56" t="e">
        <f aca="false">100*$O$5*SQRT(N92)/(C92*J92*SQRT(($O$4*B92)*$O$6))/$L$5</f>
        <v>#DIV/0!</v>
      </c>
      <c r="P92" s="57" t="e">
        <f aca="false">O92*B92*B92*0.0000000016021773</f>
        <v>#DIV/0!</v>
      </c>
      <c r="S92" s="59"/>
    </row>
    <row r="93" customFormat="false" ht="12" hidden="false" customHeight="false" outlineLevel="0" collapsed="false">
      <c r="B93" s="50" t="n">
        <f aca="false">B92+6.5</f>
        <v>550.5</v>
      </c>
      <c r="C93" s="94" t="n">
        <f aca="false">C92-215</f>
        <v>4520</v>
      </c>
      <c r="D93" s="51" t="n">
        <v>0.1194</v>
      </c>
      <c r="E93" s="58" t="n">
        <v>0.1403</v>
      </c>
      <c r="F93" s="51" t="n">
        <f aca="false">EXP(-$C$5*$C$6*E93)</f>
        <v>0.738097499473581</v>
      </c>
      <c r="G93" s="51" t="n">
        <f aca="false">EXP(-1*D93*$C$5*$C$7)</f>
        <v>0.980316206173639</v>
      </c>
      <c r="H93" s="52" t="n">
        <v>0.0839</v>
      </c>
      <c r="I93" s="58" t="n">
        <v>0.08588</v>
      </c>
      <c r="J93" s="51" t="n">
        <f aca="false">J92</f>
        <v>0</v>
      </c>
      <c r="K93" s="54" t="n">
        <f aca="false">MIN(167*POWER(B93,-2.38),11.6*POWER(B93,-1.41))</f>
        <v>5.00857338833516E-005</v>
      </c>
      <c r="L93" s="55" t="n">
        <f aca="false">K93*$N$10*J93*(MAX(G93*($D$10-$D$8),0)+MAX(G93*F93*($D$9-$D$10),0)+F93*$D$11+$D$12)</f>
        <v>0</v>
      </c>
      <c r="M93" s="55" t="n">
        <f aca="false">$K$120*0.000084*(B93/10)^(-0.45)</f>
        <v>8.43855966806998E-006</v>
      </c>
      <c r="N93" s="55" t="n">
        <f aca="false">L93+M93</f>
        <v>8.43855966806998E-006</v>
      </c>
      <c r="O93" s="56" t="e">
        <f aca="false">100*$O$5*SQRT(N93)/(C93*J93*SQRT(($O$4*B93)*$O$6))/$L$5</f>
        <v>#DIV/0!</v>
      </c>
      <c r="P93" s="57" t="e">
        <f aca="false">O93*B93*B93*0.0000000016021773</f>
        <v>#DIV/0!</v>
      </c>
      <c r="S93" s="59"/>
    </row>
    <row r="94" customFormat="false" ht="12" hidden="false" customHeight="false" outlineLevel="0" collapsed="false">
      <c r="B94" s="50" t="n">
        <f aca="false">B93+6.5</f>
        <v>557</v>
      </c>
      <c r="C94" s="94" t="n">
        <f aca="false">C93-215</f>
        <v>4305</v>
      </c>
      <c r="D94" s="51" t="n">
        <v>0.1176</v>
      </c>
      <c r="E94" s="58" t="n">
        <v>0.138</v>
      </c>
      <c r="F94" s="51" t="n">
        <f aca="false">EXP(-$C$5*$C$6*E94)</f>
        <v>0.741781168849812</v>
      </c>
      <c r="G94" s="51" t="n">
        <f aca="false">EXP(-1*D94*$C$5*$C$7)</f>
        <v>0.980610050971073</v>
      </c>
      <c r="H94" s="52" t="n">
        <v>0.08347</v>
      </c>
      <c r="I94" s="58" t="n">
        <v>0.0851</v>
      </c>
      <c r="J94" s="51" t="n">
        <f aca="false">J93</f>
        <v>0</v>
      </c>
      <c r="K94" s="54" t="n">
        <f aca="false">MIN(167*POWER(B94,-2.38),11.6*POWER(B94,-1.41))</f>
        <v>4.87058477242912E-005</v>
      </c>
      <c r="L94" s="55" t="n">
        <f aca="false">K94*$N$10*J94*(MAX(G94*($D$10-$D$8),0)+MAX(G94*F94*($D$9-$D$10),0)+F94*$D$11+$D$12)</f>
        <v>0</v>
      </c>
      <c r="M94" s="55" t="n">
        <f aca="false">$K$120*0.000084*(B94/10)^(-0.45)</f>
        <v>8.39410279352971E-006</v>
      </c>
      <c r="N94" s="55" t="n">
        <f aca="false">L94+M94</f>
        <v>8.39410279352971E-006</v>
      </c>
      <c r="O94" s="56" t="e">
        <f aca="false">100*$O$5*SQRT(N94)/(C94*J94*SQRT(($O$4*B94)*$O$6))/$L$5</f>
        <v>#DIV/0!</v>
      </c>
      <c r="P94" s="57" t="e">
        <f aca="false">O94*B94*B94*0.0000000016021773</f>
        <v>#DIV/0!</v>
      </c>
      <c r="S94" s="59"/>
    </row>
    <row r="95" customFormat="false" ht="12" hidden="false" customHeight="false" outlineLevel="0" collapsed="false">
      <c r="B95" s="50" t="n">
        <f aca="false">B94+6.5</f>
        <v>563.5</v>
      </c>
      <c r="C95" s="94" t="n">
        <f aca="false">C94-215</f>
        <v>4090</v>
      </c>
      <c r="D95" s="51" t="n">
        <v>0.116</v>
      </c>
      <c r="E95" s="58" t="n">
        <v>0.1358</v>
      </c>
      <c r="F95" s="51" t="n">
        <f aca="false">EXP(-$C$5*$C$6*E95)</f>
        <v>0.74532188016369</v>
      </c>
      <c r="G95" s="51" t="n">
        <f aca="false">EXP(-1*D95*$C$5*$C$7)</f>
        <v>0.98087132028818</v>
      </c>
      <c r="H95" s="52" t="n">
        <v>0.08305</v>
      </c>
      <c r="I95" s="58" t="n">
        <v>0.08434</v>
      </c>
      <c r="J95" s="51" t="n">
        <f aca="false">J94</f>
        <v>0</v>
      </c>
      <c r="K95" s="54" t="n">
        <f aca="false">MIN(167*POWER(B95,-2.38),11.6*POWER(B95,-1.41))</f>
        <v>4.73793327980402E-005</v>
      </c>
      <c r="L95" s="55" t="n">
        <f aca="false">K95*$N$10*J95*(MAX(G95*($D$10-$D$8),0)+MAX(G95*F95*($D$9-$D$10),0)+F95*$D$11+$D$12)</f>
        <v>0</v>
      </c>
      <c r="M95" s="55" t="n">
        <f aca="false">$K$120*0.000084*(B95/10)^(-0.45)</f>
        <v>8.35039187425408E-006</v>
      </c>
      <c r="N95" s="55" t="n">
        <f aca="false">L95+M95</f>
        <v>8.35039187425408E-006</v>
      </c>
      <c r="O95" s="56" t="e">
        <f aca="false">100*$O$5*SQRT(N95)/(C95*J95*SQRT(($O$4*B95)*$O$6))/$L$5</f>
        <v>#DIV/0!</v>
      </c>
      <c r="P95" s="57" t="e">
        <f aca="false">O95*B95*B95*0.0000000016021773</f>
        <v>#DIV/0!</v>
      </c>
      <c r="S95" s="59"/>
    </row>
    <row r="96" customFormat="false" ht="12" hidden="false" customHeight="false" outlineLevel="0" collapsed="false">
      <c r="B96" s="50" t="n">
        <f aca="false">B95+6.5</f>
        <v>570</v>
      </c>
      <c r="C96" s="94" t="n">
        <f aca="false">C95-215</f>
        <v>3875</v>
      </c>
      <c r="D96" s="51" t="n">
        <v>0.1144</v>
      </c>
      <c r="E96" s="58" t="n">
        <v>0.1336</v>
      </c>
      <c r="F96" s="51" t="n">
        <f aca="false">EXP(-$C$5*$C$6*E96)</f>
        <v>0.748879492198609</v>
      </c>
      <c r="G96" s="51" t="n">
        <f aca="false">EXP(-1*D96*$C$5*$C$7)</f>
        <v>0.981132659216704</v>
      </c>
      <c r="H96" s="52" t="n">
        <v>0.08263</v>
      </c>
      <c r="I96" s="58" t="n">
        <v>0.08359</v>
      </c>
      <c r="J96" s="51" t="n">
        <f aca="false">J95</f>
        <v>0</v>
      </c>
      <c r="K96" s="54" t="n">
        <f aca="false">MIN(167*POWER(B96,-2.38),11.6*POWER(B96,-1.41))</f>
        <v>4.61035443783006E-005</v>
      </c>
      <c r="L96" s="55" t="n">
        <f aca="false">K96*$N$10*J96*(MAX(G96*($D$10-$D$8),0)+MAX(G96*F96*($D$9-$D$10),0)+F96*$D$11+$D$12)</f>
        <v>0</v>
      </c>
      <c r="M96" s="55" t="n">
        <f aca="false">$K$120*0.000084*(B96/10)^(-0.45)</f>
        <v>8.3074060032991E-006</v>
      </c>
      <c r="N96" s="55" t="n">
        <f aca="false">L96+M96</f>
        <v>8.3074060032991E-006</v>
      </c>
      <c r="O96" s="56" t="e">
        <f aca="false">100*$O$5*SQRT(N96)/(C96*J96*SQRT(($O$4*B96)*$O$6))/$L$5</f>
        <v>#DIV/0!</v>
      </c>
      <c r="P96" s="57" t="e">
        <f aca="false">O96*B96*B96*0.0000000016021773</f>
        <v>#DIV/0!</v>
      </c>
      <c r="S96" s="59"/>
    </row>
    <row r="97" customFormat="false" ht="12" hidden="false" customHeight="false" outlineLevel="0" collapsed="false">
      <c r="B97" s="50" t="n">
        <f aca="false">B96+6.5</f>
        <v>576.5</v>
      </c>
      <c r="C97" s="94" t="n">
        <f aca="false">C96-215</f>
        <v>3660</v>
      </c>
      <c r="D97" s="51" t="n">
        <v>0.1128</v>
      </c>
      <c r="E97" s="58" t="n">
        <v>0.1316</v>
      </c>
      <c r="F97" s="51" t="n">
        <f aca="false">EXP(-$C$5*$C$6*E97)</f>
        <v>0.752128418748049</v>
      </c>
      <c r="G97" s="51" t="n">
        <f aca="false">EXP(-1*D97*$C$5*$C$7)</f>
        <v>0.981394067775193</v>
      </c>
      <c r="H97" s="52" t="n">
        <v>0.08222</v>
      </c>
      <c r="I97" s="58" t="n">
        <v>0.08287</v>
      </c>
      <c r="J97" s="51" t="n">
        <f aca="false">J96</f>
        <v>0</v>
      </c>
      <c r="K97" s="54" t="n">
        <f aca="false">MIN(167*POWER(B97,-2.38),11.6*POWER(B97,-1.41))</f>
        <v>4.48759969121104E-005</v>
      </c>
      <c r="L97" s="55" t="n">
        <f aca="false">K97*$N$10*J97*(MAX(G97*($D$10-$D$8),0)+MAX(G97*F97*($D$9-$D$10),0)+F97*$D$11+$D$12)</f>
        <v>0</v>
      </c>
      <c r="M97" s="55" t="n">
        <f aca="false">$K$120*0.000084*(B97/10)^(-0.45)</f>
        <v>8.26512508952117E-006</v>
      </c>
      <c r="N97" s="55" t="n">
        <f aca="false">L97+M97</f>
        <v>8.26512508952117E-006</v>
      </c>
      <c r="O97" s="56" t="e">
        <f aca="false">100*$O$5*SQRT(N97)/(C97*J97*SQRT(($O$4*B97)*$O$6))/$L$5</f>
        <v>#DIV/0!</v>
      </c>
      <c r="P97" s="57" t="e">
        <f aca="false">O97*B97*B97*0.0000000016021773</f>
        <v>#DIV/0!</v>
      </c>
      <c r="S97" s="59"/>
    </row>
    <row r="98" customFormat="false" ht="12" hidden="false" customHeight="false" outlineLevel="0" collapsed="false">
      <c r="B98" s="50" t="n">
        <f aca="false">B97+6.5</f>
        <v>583</v>
      </c>
      <c r="C98" s="94" t="n">
        <f aca="false">C97-215</f>
        <v>3445</v>
      </c>
      <c r="D98" s="51" t="n">
        <v>0.1113</v>
      </c>
      <c r="E98" s="58" t="n">
        <v>0.1296</v>
      </c>
      <c r="F98" s="51" t="n">
        <f aca="false">EXP(-$C$5*$C$6*E98)</f>
        <v>0.755391440387332</v>
      </c>
      <c r="G98" s="51" t="n">
        <f aca="false">EXP(-1*D98*$C$5*$C$7)</f>
        <v>0.981639201553427</v>
      </c>
      <c r="H98" s="52" t="n">
        <v>0.08181</v>
      </c>
      <c r="I98" s="58" t="n">
        <v>0.08217</v>
      </c>
      <c r="J98" s="51" t="n">
        <f aca="false">J97</f>
        <v>0</v>
      </c>
      <c r="K98" s="54" t="n">
        <f aca="false">MIN(167*POWER(B98,-2.38),11.6*POWER(B98,-1.41))</f>
        <v>4.36943527851616E-005</v>
      </c>
      <c r="L98" s="55" t="n">
        <f aca="false">K98*$N$10*J98*(MAX(G98*($D$10-$D$8),0)+MAX(G98*F98*($D$9-$D$10),0)+F98*$D$11+$D$12)</f>
        <v>0</v>
      </c>
      <c r="M98" s="55" t="n">
        <f aca="false">$K$120*0.000084*(B98/10)^(-0.45)</f>
        <v>8.22352981697616E-006</v>
      </c>
      <c r="N98" s="55" t="n">
        <f aca="false">L98+M98</f>
        <v>8.22352981697616E-006</v>
      </c>
      <c r="O98" s="56" t="e">
        <f aca="false">100*$O$5*SQRT(N98)/(C98*J98*SQRT(($O$4*B98)*$O$6))/$L$5</f>
        <v>#DIV/0!</v>
      </c>
      <c r="P98" s="57" t="e">
        <f aca="false">O98*B98*B98*0.0000000016021773</f>
        <v>#DIV/0!</v>
      </c>
      <c r="R98" s="51"/>
      <c r="S98" s="59"/>
    </row>
    <row r="99" customFormat="false" ht="12" hidden="false" customHeight="false" outlineLevel="0" collapsed="false">
      <c r="B99" s="50" t="n">
        <f aca="false">B98+6.5</f>
        <v>589.5</v>
      </c>
      <c r="C99" s="94" t="n">
        <f aca="false">C98-215</f>
        <v>3230</v>
      </c>
      <c r="D99" s="51" t="n">
        <v>0.1099</v>
      </c>
      <c r="E99" s="58" t="n">
        <v>0.1277</v>
      </c>
      <c r="F99" s="51" t="n">
        <f aca="false">EXP(-$C$5*$C$6*E99)</f>
        <v>0.758504422214699</v>
      </c>
      <c r="G99" s="51" t="n">
        <f aca="false">EXP(-1*D99*$C$5*$C$7)</f>
        <v>0.981868048322363</v>
      </c>
      <c r="H99" s="52" t="n">
        <v>0.08141</v>
      </c>
      <c r="I99" s="58" t="n">
        <v>0.08149</v>
      </c>
      <c r="J99" s="51" t="n">
        <f aca="false">J98</f>
        <v>0</v>
      </c>
      <c r="K99" s="54" t="n">
        <f aca="false">MIN(167*POWER(B99,-2.38),11.6*POWER(B99,-1.41))</f>
        <v>4.25564119943175E-005</v>
      </c>
      <c r="L99" s="55" t="n">
        <f aca="false">K99*$N$10*J99*(MAX(G99*($D$10-$D$8),0)+MAX(G99*F99*($D$9-$D$10),0)+F99*$D$11+$D$12)</f>
        <v>0</v>
      </c>
      <c r="M99" s="55" t="n">
        <f aca="false">$K$120*0.000084*(B99/10)^(-0.45)</f>
        <v>8.1826016067658E-006</v>
      </c>
      <c r="N99" s="55" t="n">
        <f aca="false">L99+M99</f>
        <v>8.1826016067658E-006</v>
      </c>
      <c r="O99" s="56" t="e">
        <f aca="false">100*$O$5*SQRT(N99)/(C99*J99*SQRT(($O$4*B99)*$O$6))/$L$5</f>
        <v>#DIV/0!</v>
      </c>
      <c r="P99" s="57" t="e">
        <f aca="false">O99*B99*B99*0.0000000016021773</f>
        <v>#DIV/0!</v>
      </c>
      <c r="R99" s="51"/>
      <c r="S99" s="59"/>
    </row>
    <row r="100" customFormat="false" ht="12" hidden="false" customHeight="false" outlineLevel="0" collapsed="false">
      <c r="B100" s="50" t="n">
        <f aca="false">B99+6.5</f>
        <v>596</v>
      </c>
      <c r="C100" s="94" t="n">
        <f aca="false">C99-215</f>
        <v>3015</v>
      </c>
      <c r="D100" s="51" t="n">
        <v>0.1085</v>
      </c>
      <c r="E100" s="58" t="n">
        <v>0.1259</v>
      </c>
      <c r="F100" s="51" t="n">
        <f aca="false">EXP(-$C$5*$C$6*E100)</f>
        <v>0.761465395672904</v>
      </c>
      <c r="G100" s="51" t="n">
        <f aca="false">EXP(-1*D100*$C$5*$C$7)</f>
        <v>0.9820969484417</v>
      </c>
      <c r="H100" s="52" t="n">
        <v>0.08102</v>
      </c>
      <c r="I100" s="58" t="n">
        <v>0.08082</v>
      </c>
      <c r="J100" s="51" t="n">
        <f aca="false">J99</f>
        <v>0</v>
      </c>
      <c r="K100" s="54" t="n">
        <f aca="false">MIN(167*POWER(B100,-2.38),11.6*POWER(B100,-1.41))</f>
        <v>4.14601026450481E-005</v>
      </c>
      <c r="L100" s="55" t="n">
        <f aca="false">K100*$N$10*J100*(MAX(G100*($D$10-$D$8),0)+MAX(G100*F100*($D$9-$D$10),0)+F100*$D$11+$D$12)</f>
        <v>0</v>
      </c>
      <c r="M100" s="55" t="n">
        <f aca="false">$K$120*0.000084*(B100/10)^(-0.45)</f>
        <v>8.14232258115877E-006</v>
      </c>
      <c r="N100" s="55" t="n">
        <f aca="false">L100+M100</f>
        <v>8.14232258115877E-006</v>
      </c>
      <c r="O100" s="56" t="e">
        <f aca="false">100*$O$5*SQRT(N100)/(C100*J100*SQRT(($O$4*B100)*$O$6))/$L$5</f>
        <v>#DIV/0!</v>
      </c>
      <c r="P100" s="57" t="e">
        <f aca="false">O100*B100*B100*0.0000000016021773</f>
        <v>#DIV/0!</v>
      </c>
      <c r="R100" s="51"/>
      <c r="S100" s="59"/>
    </row>
    <row r="101" customFormat="false" ht="12" hidden="false" customHeight="false" outlineLevel="0" collapsed="false">
      <c r="B101" s="50" t="n">
        <f aca="false">B100+6.5</f>
        <v>602.5</v>
      </c>
      <c r="C101" s="94" t="n">
        <f aca="false">C100-215</f>
        <v>2800</v>
      </c>
      <c r="D101" s="51" t="n">
        <v>0.1071</v>
      </c>
      <c r="E101" s="58" t="n">
        <v>0.1241</v>
      </c>
      <c r="F101" s="51" t="n">
        <f aca="false">EXP(-$C$5*$C$6*E101)</f>
        <v>0.764437927882204</v>
      </c>
      <c r="G101" s="51" t="n">
        <f aca="false">EXP(-1*D101*$C$5*$C$7)</f>
        <v>0.982325901923873</v>
      </c>
      <c r="H101" s="52" t="n">
        <v>0.08063</v>
      </c>
      <c r="I101" s="58" t="n">
        <v>0.08017</v>
      </c>
      <c r="J101" s="51" t="n">
        <f aca="false">J100</f>
        <v>0</v>
      </c>
      <c r="K101" s="54" t="n">
        <f aca="false">MIN(167*POWER(B101,-2.38),11.6*POWER(B101,-1.41))</f>
        <v>4.04034721997669E-005</v>
      </c>
      <c r="L101" s="55" t="n">
        <f aca="false">K101*$N$10*J101*(MAX(G101*($D$10-$D$8),0)+MAX(G101*F101*($D$9-$D$10),0)+F101*$D$11+$D$12)</f>
        <v>0</v>
      </c>
      <c r="M101" s="55" t="n">
        <f aca="false">$K$120*0.000084*(B101/10)^(-0.45)</f>
        <v>8.10267552982766E-006</v>
      </c>
      <c r="N101" s="55" t="n">
        <f aca="false">L101+M101</f>
        <v>8.10267552982766E-006</v>
      </c>
      <c r="O101" s="56" t="e">
        <f aca="false">100*$O$5*SQRT(N101)/(C101*J101*SQRT(($O$4*B101)*$O$6))/$L$5</f>
        <v>#DIV/0!</v>
      </c>
      <c r="P101" s="57" t="e">
        <f aca="false">O101*B101*B101*0.0000000016021773</f>
        <v>#DIV/0!</v>
      </c>
      <c r="R101" s="51"/>
      <c r="S101" s="59"/>
    </row>
    <row r="102" customFormat="false" ht="12" hidden="false" customHeight="false" outlineLevel="0" collapsed="false">
      <c r="B102" s="50" t="n">
        <f aca="false">B101+6.5</f>
        <v>609</v>
      </c>
      <c r="C102" s="94" t="n">
        <f aca="false">C101-215</f>
        <v>2585</v>
      </c>
      <c r="D102" s="51" t="n">
        <v>0.1058</v>
      </c>
      <c r="E102" s="58" t="n">
        <v>0.1223</v>
      </c>
      <c r="F102" s="51" t="n">
        <f aca="false">EXP(-$C$5*$C$6*E102)</f>
        <v>0.76742206396449</v>
      </c>
      <c r="G102" s="51" t="n">
        <f aca="false">EXP(-1*D102*$C$5*$C$7)</f>
        <v>0.982538549378285</v>
      </c>
      <c r="H102" s="52" t="n">
        <v>0.08024</v>
      </c>
      <c r="I102" s="58" t="n">
        <v>0.07954</v>
      </c>
      <c r="J102" s="51" t="n">
        <f aca="false">J101</f>
        <v>0</v>
      </c>
      <c r="K102" s="54" t="n">
        <f aca="false">MIN(167*POWER(B102,-2.38),11.6*POWER(B102,-1.41))</f>
        <v>3.93846794104054E-005</v>
      </c>
      <c r="L102" s="55" t="n">
        <f aca="false">K102*$N$10*J102*(MAX(G102*($D$10-$D$8),0)+MAX(G102*F102*($D$9-$D$10),0)+F102*$D$11+$D$12)</f>
        <v>0</v>
      </c>
      <c r="M102" s="55" t="n">
        <f aca="false">$K$120*0.000084*(B102/10)^(-0.45)</f>
        <v>8.0636438780558E-006</v>
      </c>
      <c r="N102" s="55" t="n">
        <f aca="false">L102+M102</f>
        <v>8.0636438780558E-006</v>
      </c>
      <c r="O102" s="56" t="e">
        <f aca="false">100*$O$5*SQRT(N102)/(C102*J102*SQRT(($O$4*B102)*$O$6))/$L$5</f>
        <v>#DIV/0!</v>
      </c>
      <c r="P102" s="57" t="e">
        <f aca="false">O102*B102*B102*0.0000000016021773</f>
        <v>#DIV/0!</v>
      </c>
      <c r="R102" s="51"/>
      <c r="S102" s="59"/>
    </row>
    <row r="103" customFormat="false" ht="12" hidden="false" customHeight="false" outlineLevel="0" collapsed="false">
      <c r="B103" s="50" t="n">
        <f aca="false">B102+6.5</f>
        <v>615.5</v>
      </c>
      <c r="C103" s="94" t="n">
        <f aca="false">C102-215</f>
        <v>2370</v>
      </c>
      <c r="D103" s="51" t="n">
        <v>0.1045</v>
      </c>
      <c r="E103" s="58" t="n">
        <v>0.1207</v>
      </c>
      <c r="F103" s="51" t="n">
        <f aca="false">EXP(-$C$5*$C$6*E103)</f>
        <v>0.770084407509537</v>
      </c>
      <c r="G103" s="51" t="n">
        <f aca="false">EXP(-1*D103*$C$5*$C$7)</f>
        <v>0.98275124286522</v>
      </c>
      <c r="H103" s="52" t="n">
        <v>0.07986</v>
      </c>
      <c r="I103" s="58" t="n">
        <v>0.07892</v>
      </c>
      <c r="J103" s="51" t="n">
        <f aca="false">J102</f>
        <v>0</v>
      </c>
      <c r="K103" s="54" t="n">
        <f aca="false">MIN(167*POWER(B103,-2.38),11.6*POWER(B103,-1.41))</f>
        <v>3.84019868751194E-005</v>
      </c>
      <c r="L103" s="55" t="n">
        <f aca="false">K103*$N$10*J103*(MAX(G103*($D$10-$D$8),0)+MAX(G103*F103*($D$9-$D$10),0)+F103*$D$11+$D$12)</f>
        <v>0</v>
      </c>
      <c r="M103" s="55" t="n">
        <f aca="false">$K$120*0.000084*(B103/10)^(-0.45)</f>
        <v>8.02521165677933E-006</v>
      </c>
      <c r="N103" s="55" t="n">
        <f aca="false">L103+M103</f>
        <v>8.02521165677933E-006</v>
      </c>
      <c r="O103" s="56" t="e">
        <f aca="false">100*$O$5*SQRT(N103)/(C103*J103*SQRT(($O$4*B103)*$O$6))/$L$5</f>
        <v>#DIV/0!</v>
      </c>
      <c r="P103" s="57" t="e">
        <f aca="false">O103*B103*B103*0.0000000016021773</f>
        <v>#DIV/0!</v>
      </c>
      <c r="R103" s="51"/>
      <c r="S103" s="59"/>
    </row>
    <row r="104" customFormat="false" ht="12" hidden="false" customHeight="false" outlineLevel="0" collapsed="false">
      <c r="B104" s="50" t="n">
        <f aca="false">B103+6.5</f>
        <v>622</v>
      </c>
      <c r="C104" s="94" t="n">
        <f aca="false">C103-215</f>
        <v>2155</v>
      </c>
      <c r="D104" s="51" t="n">
        <v>0.1033</v>
      </c>
      <c r="E104" s="58" t="n">
        <v>0.1191</v>
      </c>
      <c r="F104" s="51" t="n">
        <f aca="false">EXP(-$C$5*$C$6*E104)</f>
        <v>0.772755987266944</v>
      </c>
      <c r="G104" s="51" t="n">
        <f aca="false">EXP(-1*D104*$C$5*$C$7)</f>
        <v>0.982947616180586</v>
      </c>
      <c r="H104" s="52" t="n">
        <v>0.07949</v>
      </c>
      <c r="I104" s="58" t="n">
        <v>0.07832</v>
      </c>
      <c r="J104" s="51" t="n">
        <f aca="false">J103</f>
        <v>0</v>
      </c>
      <c r="K104" s="54" t="n">
        <f aca="false">MIN(167*POWER(B104,-2.38),11.6*POWER(B104,-1.41))</f>
        <v>3.74537541648659E-005</v>
      </c>
      <c r="L104" s="55" t="n">
        <f aca="false">K104*$N$10*J104*(MAX(G104*($D$10-$D$8),0)+MAX(G104*F104*($D$9-$D$10),0)+F104*$D$11+$D$12)</f>
        <v>0</v>
      </c>
      <c r="M104" s="55" t="n">
        <f aca="false">$K$120*0.000084*(B104/10)^(-0.45)</f>
        <v>7.98736347434036E-006</v>
      </c>
      <c r="N104" s="55" t="n">
        <f aca="false">L104+M104</f>
        <v>7.98736347434036E-006</v>
      </c>
      <c r="O104" s="56" t="e">
        <f aca="false">100*$O$5*SQRT(N104)/(C104*J104*SQRT(($O$4*B104)*$O$6))/$L$5</f>
        <v>#DIV/0!</v>
      </c>
      <c r="P104" s="57" t="e">
        <f aca="false">O104*B104*B104*0.0000000016021773</f>
        <v>#DIV/0!</v>
      </c>
      <c r="R104" s="51"/>
      <c r="S104" s="59"/>
    </row>
    <row r="105" customFormat="false" ht="12" hidden="false" customHeight="false" outlineLevel="0" collapsed="false">
      <c r="B105" s="50" t="n">
        <f aca="false">B104+6.5</f>
        <v>628.5</v>
      </c>
      <c r="C105" s="94" t="n">
        <f aca="false">C104-215</f>
        <v>1940</v>
      </c>
      <c r="D105" s="51" t="n">
        <v>0.1021</v>
      </c>
      <c r="E105" s="58" t="n">
        <v>0.1175</v>
      </c>
      <c r="F105" s="51" t="n">
        <f aca="false">EXP(-$C$5*$C$6*E105)</f>
        <v>0.775436835279012</v>
      </c>
      <c r="G105" s="51" t="n">
        <f aca="false">EXP(-1*D105*$C$5*$C$7)</f>
        <v>0.98314402873526</v>
      </c>
      <c r="H105" s="52" t="n">
        <v>0.07912</v>
      </c>
      <c r="I105" s="58" t="n">
        <v>0.07773</v>
      </c>
      <c r="J105" s="51" t="n">
        <f aca="false">J104</f>
        <v>0</v>
      </c>
      <c r="K105" s="54" t="n">
        <f aca="false">MIN(167*POWER(B105,-2.38),11.6*POWER(B105,-1.41))</f>
        <v>3.65384314708207E-005</v>
      </c>
      <c r="L105" s="55" t="n">
        <f aca="false">K105*$N$10*J105*(MAX(G105*($D$10-$D$8),0)+MAX(G105*F105*($D$9-$D$10),0)+F105*$D$11+$D$12)</f>
        <v>0</v>
      </c>
      <c r="M105" s="55" t="n">
        <f aca="false">$K$120*0.000084*(B105/10)^(-0.45)</f>
        <v>7.95008448983698E-006</v>
      </c>
      <c r="N105" s="55" t="n">
        <f aca="false">L105+M105</f>
        <v>7.95008448983698E-006</v>
      </c>
      <c r="O105" s="56" t="e">
        <f aca="false">100*$O$5*SQRT(N105)/(C105*J105*SQRT(($O$4*B105)*$O$6))/$L$5</f>
        <v>#DIV/0!</v>
      </c>
      <c r="P105" s="57" t="e">
        <f aca="false">O105*B105*B105*0.0000000016021773</f>
        <v>#DIV/0!</v>
      </c>
      <c r="R105" s="51"/>
      <c r="S105" s="59"/>
    </row>
    <row r="106" customFormat="false" ht="12" hidden="false" customHeight="false" outlineLevel="0" collapsed="false">
      <c r="B106" s="50" t="n">
        <f aca="false">B105+6.5</f>
        <v>635</v>
      </c>
      <c r="C106" s="94" t="n">
        <f aca="false">C105-215</f>
        <v>1725</v>
      </c>
      <c r="D106" s="51" t="n">
        <v>0.1009</v>
      </c>
      <c r="E106" s="58" t="n">
        <v>0.116</v>
      </c>
      <c r="F106" s="51" t="n">
        <f aca="false">EXP(-$C$5*$C$6*E106)</f>
        <v>0.777958576340129</v>
      </c>
      <c r="G106" s="51" t="n">
        <f aca="false">EXP(-1*D106*$C$5*$C$7)</f>
        <v>0.983340480537082</v>
      </c>
      <c r="H106" s="52" t="n">
        <v>0.07876</v>
      </c>
      <c r="I106" s="58" t="n">
        <v>0.07716</v>
      </c>
      <c r="J106" s="51" t="n">
        <f aca="false">J105</f>
        <v>0</v>
      </c>
      <c r="K106" s="54" t="n">
        <f aca="false">MIN(167*POWER(B106,-2.38),11.6*POWER(B106,-1.41))</f>
        <v>3.56545537282746E-005</v>
      </c>
      <c r="L106" s="55" t="n">
        <f aca="false">K106*$N$10*J106*(MAX(G106*($D$10-$D$8),0)+MAX(G106*F106*($D$9-$D$10),0)+F106*$D$11+$D$12)</f>
        <v>0</v>
      </c>
      <c r="M106" s="55" t="n">
        <f aca="false">$K$120*0.000084*(B106/10)^(-0.45)</f>
        <v>7.91336038796416E-006</v>
      </c>
      <c r="N106" s="55" t="n">
        <f aca="false">L106+M106</f>
        <v>7.91336038796416E-006</v>
      </c>
      <c r="O106" s="56" t="e">
        <f aca="false">100*$O$5*SQRT(N106)/(C106*J106*SQRT(($O$4*B106)*$O$6))/$L$5</f>
        <v>#DIV/0!</v>
      </c>
      <c r="P106" s="57" t="e">
        <f aca="false">O106*B106*B106*0.0000000016021773</f>
        <v>#DIV/0!</v>
      </c>
      <c r="R106" s="51"/>
      <c r="S106" s="59"/>
    </row>
    <row r="107" customFormat="false" ht="12" hidden="false" customHeight="false" outlineLevel="0" collapsed="false">
      <c r="B107" s="50" t="n">
        <f aca="false">B106+6.5</f>
        <v>641.5</v>
      </c>
      <c r="C107" s="94" t="n">
        <f aca="false">C106-215</f>
        <v>1510</v>
      </c>
      <c r="D107" s="51" t="n">
        <v>0.09979</v>
      </c>
      <c r="E107" s="58" t="n">
        <v>0.1145</v>
      </c>
      <c r="F107" s="51" t="n">
        <f aca="false">EXP(-$C$5*$C$6*E107)</f>
        <v>0.780488518169755</v>
      </c>
      <c r="G107" s="51" t="n">
        <f aca="false">EXP(-1*D107*$C$5*$C$7)</f>
        <v>0.983522233402803</v>
      </c>
      <c r="H107" s="52" t="n">
        <v>0.0784</v>
      </c>
      <c r="I107" s="58" t="n">
        <v>0.0766</v>
      </c>
      <c r="J107" s="51" t="n">
        <f aca="false">J106</f>
        <v>0</v>
      </c>
      <c r="K107" s="54" t="n">
        <f aca="false">MIN(167*POWER(B107,-2.38),11.6*POWER(B107,-1.41))</f>
        <v>3.48007351768378E-005</v>
      </c>
      <c r="L107" s="55" t="n">
        <f aca="false">K107*$N$10*J107*(MAX(G107*($D$10-$D$8),0)+MAX(G107*F107*($D$9-$D$10),0)+F107*$D$11+$D$12)</f>
        <v>0</v>
      </c>
      <c r="M107" s="55" t="n">
        <f aca="false">$K$120*0.000084*(B107/10)^(-0.45)</f>
        <v>7.8771773552479E-006</v>
      </c>
      <c r="N107" s="55" t="n">
        <f aca="false">L107+M107</f>
        <v>7.8771773552479E-006</v>
      </c>
      <c r="O107" s="56" t="e">
        <f aca="false">100*$O$5*SQRT(N107)/(C107*J107*SQRT(($O$4*B107)*$O$6))/$L$5</f>
        <v>#DIV/0!</v>
      </c>
      <c r="P107" s="57" t="e">
        <f aca="false">O107*B107*B107*0.0000000016021773</f>
        <v>#DIV/0!</v>
      </c>
      <c r="R107" s="51"/>
      <c r="S107" s="59"/>
    </row>
    <row r="108" customFormat="false" ht="12" hidden="false" customHeight="false" outlineLevel="0" collapsed="false">
      <c r="B108" s="50" t="n">
        <f aca="false">B107+6.5</f>
        <v>648</v>
      </c>
      <c r="C108" s="94" t="n">
        <f aca="false">C107-215</f>
        <v>1295</v>
      </c>
      <c r="D108" s="51" t="n">
        <v>0.0987</v>
      </c>
      <c r="E108" s="58" t="n">
        <v>0.1131</v>
      </c>
      <c r="F108" s="51" t="n">
        <f aca="false">EXP(-$C$5*$C$6*E108)</f>
        <v>0.782857219651823</v>
      </c>
      <c r="G108" s="51" t="n">
        <f aca="false">EXP(-1*D108*$C$5*$C$7)</f>
        <v>0.983700744133352</v>
      </c>
      <c r="H108" s="52" t="n">
        <v>0.07804</v>
      </c>
      <c r="I108" s="58" t="n">
        <v>0.07605</v>
      </c>
      <c r="J108" s="51" t="n">
        <f aca="false">J107</f>
        <v>0</v>
      </c>
      <c r="K108" s="54" t="n">
        <f aca="false">MIN(167*POWER(B108,-2.38),11.6*POWER(B108,-1.41))</f>
        <v>3.3975664320533E-005</v>
      </c>
      <c r="L108" s="55" t="n">
        <f aca="false">K108*$N$10*J108*(MAX(G108*($D$10-$D$8),0)+MAX(G108*F108*($D$9-$D$10),0)+F108*$D$11+$D$12)</f>
        <v>0</v>
      </c>
      <c r="M108" s="55" t="n">
        <f aca="false">$K$120*0.000084*(B108/10)^(-0.45)</f>
        <v>7.84152205758232E-006</v>
      </c>
      <c r="N108" s="55" t="n">
        <f aca="false">L108+M108</f>
        <v>7.84152205758232E-006</v>
      </c>
      <c r="O108" s="56" t="e">
        <f aca="false">100*$O$5*SQRT(N108)/(C108*J108*SQRT(($O$4*B108)*$O$6))/$L$5</f>
        <v>#DIV/0!</v>
      </c>
      <c r="P108" s="57" t="e">
        <f aca="false">O108*B108*B108*0.0000000016021773</f>
        <v>#DIV/0!</v>
      </c>
      <c r="R108" s="51"/>
      <c r="S108" s="59"/>
    </row>
    <row r="109" customFormat="false" ht="12" hidden="false" customHeight="false" outlineLevel="0" collapsed="false">
      <c r="B109" s="50" t="n">
        <f aca="false">B108+6.5</f>
        <v>654.5</v>
      </c>
      <c r="C109" s="94" t="n">
        <f aca="false">C108-215</f>
        <v>1080</v>
      </c>
      <c r="D109" s="51" t="n">
        <v>0.09763</v>
      </c>
      <c r="E109" s="58" t="n">
        <v>0.1117</v>
      </c>
      <c r="F109" s="51" t="n">
        <f aca="false">EXP(-$C$5*$C$6*E109)</f>
        <v>0.785233109896544</v>
      </c>
      <c r="G109" s="51" t="n">
        <f aca="false">EXP(-1*D109*$C$5*$C$7)</f>
        <v>0.98387601095129</v>
      </c>
      <c r="H109" s="52" t="n">
        <v>0.07769</v>
      </c>
      <c r="I109" s="58" t="n">
        <v>0.07552</v>
      </c>
      <c r="J109" s="51" t="n">
        <f aca="false">J108</f>
        <v>0</v>
      </c>
      <c r="K109" s="54" t="n">
        <f aca="false">MIN(167*POWER(B109,-2.38),11.6*POWER(B109,-1.41))</f>
        <v>3.31780992547252E-005</v>
      </c>
      <c r="L109" s="55" t="n">
        <f aca="false">K109*$N$10*J109*(MAX(G109*($D$10-$D$8),0)+MAX(G109*F109*($D$9-$D$10),0)+F109*$D$11+$D$12)</f>
        <v>0</v>
      </c>
      <c r="M109" s="55" t="n">
        <f aca="false">$K$120*0.000084*(B109/10)^(-0.45)</f>
        <v>7.80638161898585E-006</v>
      </c>
      <c r="N109" s="55" t="n">
        <f aca="false">L109+M109</f>
        <v>7.80638161898585E-006</v>
      </c>
      <c r="O109" s="56" t="e">
        <f aca="false">100*$O$5*SQRT(N109)/(C109*J109*SQRT(($O$4*B109)*$O$6))/$L$5</f>
        <v>#DIV/0!</v>
      </c>
      <c r="P109" s="57" t="e">
        <f aca="false">O109*B109*B109*0.0000000016021773</f>
        <v>#DIV/0!</v>
      </c>
      <c r="R109" s="51"/>
      <c r="S109" s="59"/>
    </row>
    <row r="110" customFormat="false" ht="12" hidden="false" customHeight="false" outlineLevel="0" collapsed="false">
      <c r="B110" s="50" t="n">
        <f aca="false">B109+6.5</f>
        <v>661</v>
      </c>
      <c r="C110" s="94" t="n">
        <f aca="false">C109-215</f>
        <v>865</v>
      </c>
      <c r="D110" s="58" t="n">
        <v>0.0966</v>
      </c>
      <c r="E110" s="58" t="n">
        <v>0.1103</v>
      </c>
      <c r="F110" s="51" t="n">
        <f aca="false">EXP(-$C$5*$C$6*E110)</f>
        <v>0.787616210721066</v>
      </c>
      <c r="G110" s="51" t="n">
        <f aca="false">EXP(-1*D110*$C$5*$C$7)</f>
        <v>0.984044755236775</v>
      </c>
      <c r="H110" s="95" t="n">
        <v>0.07734</v>
      </c>
      <c r="I110" s="58" t="n">
        <v>0.07499</v>
      </c>
      <c r="J110" s="51" t="n">
        <f aca="false">J109</f>
        <v>0</v>
      </c>
      <c r="K110" s="54" t="n">
        <f aca="false">MIN(167*POWER(B110,-2.38),11.6*POWER(B110,-1.41))</f>
        <v>3.24068633298687E-005</v>
      </c>
      <c r="L110" s="55" t="n">
        <f aca="false">K110*$N$10*J110*(MAX(G110*($D$10-$D$8),0)+MAX(G110*F110*($D$9-$D$10),0)+F110*$D$11+$D$12)</f>
        <v>0</v>
      </c>
      <c r="M110" s="55" t="n">
        <f aca="false">$K$120*0.000084*(B110/10)^(-0.45)</f>
        <v>7.77174360149916E-006</v>
      </c>
      <c r="N110" s="55" t="n">
        <f aca="false">L110+M110</f>
        <v>7.77174360149916E-006</v>
      </c>
      <c r="O110" s="56" t="e">
        <f aca="false">100*$O$5*SQRT(N110)/(C110*J110*SQRT(($O$4*B110)*$O$6))/$L$5</f>
        <v>#DIV/0!</v>
      </c>
      <c r="P110" s="57" t="e">
        <f aca="false">O110*B110*B110*0.0000000016021773</f>
        <v>#DIV/0!</v>
      </c>
      <c r="R110" s="51"/>
      <c r="S110" s="59"/>
    </row>
    <row r="111" customFormat="false" ht="12" hidden="false" customHeight="false" outlineLevel="0" collapsed="false">
      <c r="B111" s="50" t="n">
        <f aca="false">B110+6.5</f>
        <v>667.5</v>
      </c>
      <c r="C111" s="94" t="n">
        <f aca="false">C110-215</f>
        <v>650</v>
      </c>
      <c r="D111" s="58" t="n">
        <v>0.09559</v>
      </c>
      <c r="E111" s="58" t="n">
        <v>0.109</v>
      </c>
      <c r="F111" s="51" t="n">
        <f aca="false">EXP(-$C$5*$C$6*E111)</f>
        <v>0.789835565597104</v>
      </c>
      <c r="G111" s="51" t="n">
        <f aca="false">EXP(-1*D111*$C$5*$C$7)</f>
        <v>0.98421025103795</v>
      </c>
      <c r="H111" s="95" t="n">
        <v>0.077</v>
      </c>
      <c r="I111" s="58" t="n">
        <v>0.07448</v>
      </c>
      <c r="J111" s="51" t="n">
        <f aca="false">J110</f>
        <v>0</v>
      </c>
      <c r="K111" s="54" t="n">
        <f aca="false">MIN(167*POWER(B111,-2.38),11.6*POWER(B111,-1.41))</f>
        <v>3.16608411247701E-005</v>
      </c>
      <c r="L111" s="55" t="n">
        <f aca="false">K111*$N$10*J111*(MAX(G111*($D$10-$D$8),0)+MAX(G111*F111*($D$9-$D$10),0)+F111*$D$11+$D$12)</f>
        <v>0</v>
      </c>
      <c r="M111" s="55" t="n">
        <f aca="false">$K$120*0.000084*(B111/10)^(-0.45)</f>
        <v>7.73759598615269E-006</v>
      </c>
      <c r="N111" s="55" t="n">
        <f aca="false">L111+M111</f>
        <v>7.73759598615269E-006</v>
      </c>
      <c r="O111" s="56" t="e">
        <f aca="false">100*$O$5*SQRT(N111)/(C111*J111*SQRT(($O$4*B111)*$O$6))/$L$5</f>
        <v>#DIV/0!</v>
      </c>
      <c r="P111" s="57" t="e">
        <f aca="false">O111*B111*B111*0.0000000016021773</f>
        <v>#DIV/0!</v>
      </c>
      <c r="R111" s="51"/>
      <c r="S111" s="59"/>
    </row>
    <row r="112" customFormat="false" ht="12" hidden="false" customHeight="false" outlineLevel="0" collapsed="false">
      <c r="B112" s="50" t="n">
        <f aca="false">B111+6.5</f>
        <v>674</v>
      </c>
      <c r="C112" s="94" t="n">
        <f aca="false">C111-215</f>
        <v>435</v>
      </c>
      <c r="D112" s="58" t="n">
        <v>0.09462</v>
      </c>
      <c r="E112" s="58" t="n">
        <v>0.1078</v>
      </c>
      <c r="F112" s="51" t="n">
        <f aca="false">EXP(-$C$5*$C$6*E112)</f>
        <v>0.791889751111035</v>
      </c>
      <c r="G112" s="51" t="n">
        <f aca="false">EXP(-1*D112*$C$5*$C$7)</f>
        <v>0.984369218751239</v>
      </c>
      <c r="H112" s="95" t="n">
        <v>0.07666</v>
      </c>
      <c r="I112" s="58" t="n">
        <v>0.07398</v>
      </c>
      <c r="J112" s="51" t="n">
        <f aca="false">J111</f>
        <v>0</v>
      </c>
      <c r="K112" s="54" t="n">
        <f aca="false">MIN(167*POWER(B112,-2.38),11.6*POWER(B112,-1.41))</f>
        <v>3.09389747045221E-005</v>
      </c>
      <c r="L112" s="55" t="n">
        <f aca="false">K112*$N$10*J112*(MAX(G112*($D$10-$D$8),0)+MAX(G112*F112*($D$9-$D$10),0)+F112*$D$11+$D$12)</f>
        <v>0</v>
      </c>
      <c r="M112" s="55" t="n">
        <f aca="false">$K$120*0.000084*(B112/10)^(-0.45)</f>
        <v>7.70392715493736E-006</v>
      </c>
      <c r="N112" s="55" t="n">
        <f aca="false">L112+M112</f>
        <v>7.70392715493736E-006</v>
      </c>
      <c r="O112" s="56" t="e">
        <f aca="false">100*$O$5*SQRT(N112)/(C112*J112*SQRT(($O$4*B112)*$O$6))/$L$5</f>
        <v>#DIV/0!</v>
      </c>
      <c r="P112" s="57" t="e">
        <f aca="false">O112*B112*B112*0.0000000016021773</f>
        <v>#DIV/0!</v>
      </c>
      <c r="R112" s="51"/>
      <c r="S112" s="59"/>
    </row>
    <row r="113" customFormat="false" ht="12" hidden="false" customHeight="false" outlineLevel="0" collapsed="false">
      <c r="B113" s="50" t="n">
        <f aca="false">B112+6.5</f>
        <v>680.5</v>
      </c>
      <c r="C113" s="94" t="n">
        <f aca="false">C112-215</f>
        <v>220</v>
      </c>
      <c r="D113" s="58" t="n">
        <v>0.09366</v>
      </c>
      <c r="E113" s="58" t="n">
        <v>0.1065</v>
      </c>
      <c r="F113" s="51" t="n">
        <f aca="false">EXP(-$C$5*$C$6*E113)</f>
        <v>0.794121148022996</v>
      </c>
      <c r="G113" s="51" t="n">
        <f aca="false">EXP(-1*D113*$C$5*$C$7)</f>
        <v>0.984526572902573</v>
      </c>
      <c r="H113" s="95" t="n">
        <v>0.07633</v>
      </c>
      <c r="I113" s="58" t="n">
        <v>0.07349</v>
      </c>
      <c r="J113" s="51" t="n">
        <f aca="false">J112</f>
        <v>0</v>
      </c>
      <c r="K113" s="54" t="n">
        <f aca="false">MIN(167*POWER(B113,-2.38),11.6*POWER(B113,-1.41))</f>
        <v>3.02402601404733E-005</v>
      </c>
      <c r="L113" s="55" t="n">
        <f aca="false">K113*$N$10*J113*(MAX(G113*($D$10-$D$8),0)+MAX(G113*F113*($D$9-$D$10),0)+F113*$D$11+$D$12)</f>
        <v>0</v>
      </c>
      <c r="M113" s="55" t="n">
        <f aca="false">$K$120*0.000084*(B113/10)^(-0.45)</f>
        <v>7.67072587371619E-006</v>
      </c>
      <c r="N113" s="55" t="n">
        <f aca="false">L113+M113</f>
        <v>7.67072587371619E-006</v>
      </c>
      <c r="O113" s="56" t="e">
        <f aca="false">100*$O$5*SQRT(N113)/(C113*J113*SQRT(($O$4*B113)*$O$6))/$L$5</f>
        <v>#DIV/0!</v>
      </c>
      <c r="P113" s="57" t="e">
        <f aca="false">O113*B113*B113*0.0000000016021773</f>
        <v>#DIV/0!</v>
      </c>
      <c r="R113" s="51"/>
      <c r="S113" s="59"/>
    </row>
    <row r="114" customFormat="false" ht="12" hidden="false" customHeight="false" outlineLevel="0" collapsed="false">
      <c r="B114" s="50" t="n">
        <f aca="false">B113+6.5</f>
        <v>687</v>
      </c>
      <c r="C114" s="94" t="n">
        <v>100</v>
      </c>
      <c r="D114" s="58" t="n">
        <v>0.09274</v>
      </c>
      <c r="E114" s="58" t="n">
        <v>0.1053</v>
      </c>
      <c r="F114" s="51" t="n">
        <f aca="false">EXP(-$C$5*$C$6*E114)</f>
        <v>0.796186479377557</v>
      </c>
      <c r="G114" s="51" t="n">
        <f aca="false">EXP(-1*D114*$C$5*$C$7)</f>
        <v>0.984677394234121</v>
      </c>
      <c r="H114" s="95" t="n">
        <v>0.076</v>
      </c>
      <c r="I114" s="58" t="n">
        <v>0.07301</v>
      </c>
      <c r="J114" s="51" t="n">
        <f aca="false">J113</f>
        <v>0</v>
      </c>
      <c r="K114" s="54" t="n">
        <f aca="false">MIN(167*POWER(B114,-2.38),11.6*POWER(B114,-1.41))</f>
        <v>2.95637442715954E-005</v>
      </c>
      <c r="L114" s="55" t="n">
        <f aca="false">K114*$N$10*J114*(MAX(G114*($D$10-$D$8),0)+MAX(G114*F114*($D$9-$D$10),0)+F114*$D$11+$D$12)</f>
        <v>0</v>
      </c>
      <c r="M114" s="55" t="n">
        <f aca="false">$K$120*0.000084*(B114/10)^(-0.45)</f>
        <v>7.63798127601949E-006</v>
      </c>
      <c r="N114" s="55" t="n">
        <f aca="false">L114+M114</f>
        <v>7.63798127601949E-006</v>
      </c>
      <c r="O114" s="56" t="e">
        <f aca="false">100*$O$5*SQRT(N114)/(C114*J114*SQRT(($O$4*B114)*$O$6))/$L$5</f>
        <v>#DIV/0!</v>
      </c>
      <c r="P114" s="57" t="e">
        <f aca="false">O114*B114*B114*0.0000000016021773</f>
        <v>#DIV/0!</v>
      </c>
      <c r="R114" s="51"/>
      <c r="S114" s="59"/>
    </row>
    <row r="115" customFormat="false" ht="12" hidden="false" customHeight="false" outlineLevel="0" collapsed="false">
      <c r="B115" s="65" t="n">
        <f aca="false">B114+6.5</f>
        <v>693.5</v>
      </c>
      <c r="C115" s="96" t="n">
        <v>40</v>
      </c>
      <c r="D115" s="67" t="n">
        <v>0.09184</v>
      </c>
      <c r="E115" s="67" t="n">
        <v>0.1042</v>
      </c>
      <c r="F115" s="67" t="n">
        <f aca="false">EXP(-$C$5*$C$6*E115)</f>
        <v>0.798084418127659</v>
      </c>
      <c r="G115" s="67" t="n">
        <f aca="false">EXP(-1*D115*$C$5*$C$7)</f>
        <v>0.984824959197676</v>
      </c>
      <c r="H115" s="68" t="n">
        <v>0.07568</v>
      </c>
      <c r="I115" s="67" t="n">
        <v>0.07254</v>
      </c>
      <c r="J115" s="51" t="n">
        <f aca="false">J114</f>
        <v>0</v>
      </c>
      <c r="K115" s="70" t="n">
        <f aca="false">MIN(167*POWER(B115,-2.38),11.6*POWER(B115,-1.41))</f>
        <v>2.890852168841E-005</v>
      </c>
      <c r="L115" s="55" t="n">
        <f aca="false">K115*$N$10*J115*(MAX(G115*($D$10-$D$8),0)+MAX(G115*F115*($D$9-$D$10),0)+F115*$D$11+$D$12)</f>
        <v>0</v>
      </c>
      <c r="M115" s="71" t="n">
        <f aca="false">$K$120*0.000084*(B115/10)^(-0.45)</f>
        <v>7.60568284766998E-006</v>
      </c>
      <c r="N115" s="71" t="n">
        <f aca="false">L115+M115</f>
        <v>7.60568284766998E-006</v>
      </c>
      <c r="O115" s="72" t="e">
        <f aca="false">100*$O$5*SQRT(N115)/(C115*J115*SQRT(($O$4*B115)*$O$6))/$L$5</f>
        <v>#DIV/0!</v>
      </c>
      <c r="P115" s="73" t="e">
        <f aca="false">O115*B115*B115*0.0000000016021773</f>
        <v>#DIV/0!</v>
      </c>
      <c r="R115" s="51"/>
      <c r="S115" s="59"/>
    </row>
    <row r="116" customFormat="false" ht="12" hidden="false" customHeight="false" outlineLevel="0" collapsed="false">
      <c r="C116" s="97"/>
      <c r="R116" s="51"/>
      <c r="S116" s="59"/>
    </row>
    <row r="117" customFormat="false" ht="12" hidden="false" customHeight="false" outlineLevel="0" collapsed="false">
      <c r="C117" s="97"/>
      <c r="D117" s="74" t="s">
        <v>69</v>
      </c>
      <c r="E117" s="74"/>
      <c r="F117" s="75" t="n">
        <f aca="false">0.803*SUM(L16:L115)</f>
        <v>2.36956128657228E-005</v>
      </c>
      <c r="G117" s="76" t="s">
        <v>70</v>
      </c>
      <c r="I117" s="30" t="s">
        <v>71</v>
      </c>
      <c r="J117" s="30"/>
      <c r="K117" s="77" t="n">
        <f aca="false">'bruit interne'!$B$12</f>
        <v>0.133536818008394</v>
      </c>
      <c r="L117" s="1" t="s">
        <v>72</v>
      </c>
      <c r="R117" s="51"/>
      <c r="S117" s="59"/>
    </row>
    <row r="118" customFormat="false" ht="12" hidden="false" customHeight="false" outlineLevel="0" collapsed="false">
      <c r="D118" s="78" t="s">
        <v>73</v>
      </c>
      <c r="E118" s="78"/>
      <c r="F118" s="79" t="n">
        <f aca="false">0.803*SUM(M16:M115)</f>
        <v>0.000918941590509739</v>
      </c>
      <c r="G118" s="80" t="s">
        <v>70</v>
      </c>
      <c r="I118" s="30" t="s">
        <v>74</v>
      </c>
      <c r="J118" s="30"/>
      <c r="K118" s="98" t="n">
        <f aca="false">$K$117*$I$8*$I$8*$N$11</f>
        <v>0.000918065623807707</v>
      </c>
      <c r="L118" s="1" t="s">
        <v>70</v>
      </c>
      <c r="R118" s="51"/>
      <c r="S118" s="59"/>
    </row>
    <row r="119" customFormat="false" ht="12" hidden="false" customHeight="false" outlineLevel="0" collapsed="false">
      <c r="D119" s="81" t="s">
        <v>75</v>
      </c>
      <c r="E119" s="81"/>
      <c r="F119" s="82" t="n">
        <f aca="false">0.803*SUM(N16:N115)</f>
        <v>0.000942637203375462</v>
      </c>
      <c r="G119" s="83" t="s">
        <v>70</v>
      </c>
      <c r="I119" s="30" t="s">
        <v>76</v>
      </c>
      <c r="J119" s="30"/>
      <c r="K119" s="31" t="n">
        <f aca="false">K120*K118/F118</f>
        <v>0.609418527038325</v>
      </c>
      <c r="R119" s="51"/>
      <c r="S119" s="59"/>
    </row>
    <row r="120" customFormat="false" ht="12" hidden="false" customHeight="false" outlineLevel="0" collapsed="false">
      <c r="I120" s="30" t="s">
        <v>77</v>
      </c>
      <c r="J120" s="30"/>
      <c r="K120" s="15" t="n">
        <v>0.61</v>
      </c>
      <c r="M120" s="26" t="s">
        <v>78</v>
      </c>
      <c r="R120" s="51"/>
      <c r="S120" s="59"/>
    </row>
    <row r="121" customFormat="false" ht="12.75" hidden="false" customHeight="false" outlineLevel="0" collapsed="false">
      <c r="R121" s="51"/>
      <c r="S121" s="59"/>
    </row>
    <row r="122" s="1" customFormat="true" ht="12" hidden="false" customHeight="false" outlineLevel="0" collapsed="false">
      <c r="N122" s="2"/>
      <c r="R122" s="51"/>
      <c r="S122" s="59"/>
      <c r="U122" s="3"/>
    </row>
    <row r="123" customFormat="false" ht="12" hidden="false" customHeight="false" outlineLevel="0" collapsed="false">
      <c r="R123" s="51"/>
      <c r="S123" s="59"/>
    </row>
    <row r="124" customFormat="false" ht="12" hidden="false" customHeight="false" outlineLevel="0" collapsed="false">
      <c r="R124" s="51"/>
      <c r="S124" s="59"/>
    </row>
    <row r="125" customFormat="false" ht="12" hidden="false" customHeight="false" outlineLevel="0" collapsed="false">
      <c r="R125" s="51"/>
      <c r="S125" s="59"/>
    </row>
    <row r="126" customFormat="false" ht="12" hidden="false" customHeight="false" outlineLevel="0" collapsed="false">
      <c r="R126" s="51"/>
      <c r="S126" s="59"/>
    </row>
    <row r="127" customFormat="false" ht="12" hidden="false" customHeight="false" outlineLevel="0" collapsed="false">
      <c r="R127" s="51"/>
      <c r="S127" s="59"/>
    </row>
    <row r="128" customFormat="false" ht="12" hidden="false" customHeight="false" outlineLevel="0" collapsed="false">
      <c r="R128" s="51"/>
      <c r="S128" s="59"/>
    </row>
    <row r="129" customFormat="false" ht="12" hidden="false" customHeight="false" outlineLevel="0" collapsed="false">
      <c r="R129" s="51"/>
      <c r="S129" s="59"/>
    </row>
    <row r="130" customFormat="false" ht="12" hidden="false" customHeight="false" outlineLevel="0" collapsed="false">
      <c r="R130" s="51"/>
      <c r="S130" s="59"/>
    </row>
    <row r="131" customFormat="false" ht="12" hidden="false" customHeight="false" outlineLevel="0" collapsed="false">
      <c r="R131" s="51"/>
      <c r="S131" s="59"/>
    </row>
    <row r="132" customFormat="false" ht="12" hidden="false" customHeight="false" outlineLevel="0" collapsed="false">
      <c r="R132" s="51"/>
      <c r="S132" s="59"/>
    </row>
    <row r="133" customFormat="false" ht="12" hidden="false" customHeight="false" outlineLevel="0" collapsed="false">
      <c r="R133" s="51"/>
      <c r="S133" s="59"/>
    </row>
    <row r="134" customFormat="false" ht="12" hidden="false" customHeight="false" outlineLevel="0" collapsed="false">
      <c r="R134" s="51"/>
      <c r="S134" s="59"/>
    </row>
    <row r="135" customFormat="false" ht="12" hidden="false" customHeight="false" outlineLevel="0" collapsed="false">
      <c r="R135" s="51"/>
      <c r="S135" s="59"/>
    </row>
    <row r="136" customFormat="false" ht="12" hidden="false" customHeight="false" outlineLevel="0" collapsed="false">
      <c r="R136" s="51"/>
      <c r="S136" s="59"/>
    </row>
    <row r="137" customFormat="false" ht="12" hidden="false" customHeight="false" outlineLevel="0" collapsed="false">
      <c r="R137" s="51"/>
      <c r="S137" s="59"/>
    </row>
    <row r="138" customFormat="false" ht="12" hidden="false" customHeight="false" outlineLevel="0" collapsed="false">
      <c r="R138" s="51"/>
      <c r="S138" s="59"/>
    </row>
    <row r="139" customFormat="false" ht="12" hidden="false" customHeight="false" outlineLevel="0" collapsed="false">
      <c r="R139" s="51"/>
      <c r="S139" s="59"/>
    </row>
    <row r="140" customFormat="false" ht="12" hidden="false" customHeight="false" outlineLevel="0" collapsed="false">
      <c r="R140" s="51"/>
      <c r="S140" s="59"/>
    </row>
    <row r="141" customFormat="false" ht="12" hidden="false" customHeight="false" outlineLevel="0" collapsed="false">
      <c r="R141" s="51"/>
      <c r="S141" s="59"/>
    </row>
    <row r="142" customFormat="false" ht="12" hidden="false" customHeight="false" outlineLevel="0" collapsed="false">
      <c r="R142" s="51"/>
      <c r="S142" s="59"/>
    </row>
    <row r="143" customFormat="false" ht="12" hidden="false" customHeight="false" outlineLevel="0" collapsed="false">
      <c r="R143" s="51"/>
      <c r="S143" s="59"/>
    </row>
    <row r="144" customFormat="false" ht="12" hidden="false" customHeight="false" outlineLevel="0" collapsed="false">
      <c r="R144" s="51"/>
      <c r="S144" s="59"/>
    </row>
    <row r="145" customFormat="false" ht="12" hidden="false" customHeight="false" outlineLevel="0" collapsed="false">
      <c r="R145" s="51"/>
      <c r="S145" s="59"/>
    </row>
    <row r="146" customFormat="false" ht="12" hidden="false" customHeight="false" outlineLevel="0" collapsed="false">
      <c r="R146" s="51"/>
      <c r="S146" s="59"/>
    </row>
    <row r="147" customFormat="false" ht="12" hidden="false" customHeight="false" outlineLevel="0" collapsed="false">
      <c r="R147" s="51"/>
      <c r="S147" s="59"/>
    </row>
    <row r="148" customFormat="false" ht="12" hidden="false" customHeight="false" outlineLevel="0" collapsed="false">
      <c r="R148" s="51"/>
      <c r="S148" s="59"/>
    </row>
    <row r="149" customFormat="false" ht="12" hidden="false" customHeight="false" outlineLevel="0" collapsed="false">
      <c r="R149" s="51"/>
      <c r="S149" s="59"/>
    </row>
    <row r="150" customFormat="false" ht="12" hidden="false" customHeight="false" outlineLevel="0" collapsed="false">
      <c r="R150" s="51"/>
      <c r="S150" s="59"/>
    </row>
    <row r="151" customFormat="false" ht="12" hidden="false" customHeight="false" outlineLevel="0" collapsed="false">
      <c r="R151" s="51"/>
      <c r="S151" s="59"/>
    </row>
    <row r="152" customFormat="false" ht="12" hidden="false" customHeight="false" outlineLevel="0" collapsed="false">
      <c r="R152" s="51"/>
      <c r="S152" s="59"/>
    </row>
    <row r="153" customFormat="false" ht="12" hidden="false" customHeight="false" outlineLevel="0" collapsed="false">
      <c r="R153" s="51"/>
      <c r="S153" s="59"/>
    </row>
    <row r="154" customFormat="false" ht="12" hidden="false" customHeight="false" outlineLevel="0" collapsed="false">
      <c r="R154" s="51"/>
      <c r="S154" s="59"/>
    </row>
    <row r="155" customFormat="false" ht="12" hidden="false" customHeight="false" outlineLevel="0" collapsed="false">
      <c r="R155" s="51"/>
      <c r="S155" s="59"/>
    </row>
    <row r="156" customFormat="false" ht="12" hidden="false" customHeight="false" outlineLevel="0" collapsed="false">
      <c r="R156" s="51"/>
      <c r="S156" s="59"/>
    </row>
    <row r="157" customFormat="false" ht="12" hidden="false" customHeight="false" outlineLevel="0" collapsed="false">
      <c r="R157" s="51"/>
      <c r="S157" s="59"/>
    </row>
    <row r="158" customFormat="false" ht="12" hidden="false" customHeight="false" outlineLevel="0" collapsed="false">
      <c r="R158" s="51"/>
      <c r="S158" s="59"/>
    </row>
    <row r="159" customFormat="false" ht="12" hidden="false" customHeight="false" outlineLevel="0" collapsed="false">
      <c r="R159" s="51"/>
      <c r="S159" s="59"/>
    </row>
    <row r="160" customFormat="false" ht="12" hidden="false" customHeight="false" outlineLevel="0" collapsed="false">
      <c r="R160" s="51"/>
      <c r="S160" s="59"/>
    </row>
    <row r="161" customFormat="false" ht="12" hidden="false" customHeight="false" outlineLevel="0" collapsed="false">
      <c r="R161" s="51"/>
      <c r="S161" s="59"/>
    </row>
    <row r="162" customFormat="false" ht="12" hidden="false" customHeight="false" outlineLevel="0" collapsed="false">
      <c r="R162" s="51"/>
      <c r="S162" s="59"/>
    </row>
    <row r="163" customFormat="false" ht="12" hidden="false" customHeight="false" outlineLevel="0" collapsed="false">
      <c r="R163" s="51"/>
      <c r="S163" s="59"/>
    </row>
    <row r="164" customFormat="false" ht="12" hidden="false" customHeight="false" outlineLevel="0" collapsed="false">
      <c r="R164" s="51"/>
      <c r="S164" s="59"/>
    </row>
    <row r="165" customFormat="false" ht="12" hidden="false" customHeight="false" outlineLevel="0" collapsed="false">
      <c r="R165" s="51"/>
      <c r="S165" s="59"/>
    </row>
    <row r="166" customFormat="false" ht="12" hidden="false" customHeight="false" outlineLevel="0" collapsed="false">
      <c r="R166" s="51"/>
      <c r="S166" s="59"/>
    </row>
    <row r="167" customFormat="false" ht="12" hidden="false" customHeight="false" outlineLevel="0" collapsed="false">
      <c r="R167" s="51"/>
      <c r="S167" s="59"/>
    </row>
    <row r="168" customFormat="false" ht="12" hidden="false" customHeight="false" outlineLevel="0" collapsed="false">
      <c r="R168" s="51"/>
      <c r="S168" s="59"/>
    </row>
    <row r="169" customFormat="false" ht="12" hidden="false" customHeight="false" outlineLevel="0" collapsed="false">
      <c r="R169" s="51"/>
      <c r="S169" s="59"/>
    </row>
    <row r="170" customFormat="false" ht="12" hidden="false" customHeight="false" outlineLevel="0" collapsed="false">
      <c r="R170" s="51"/>
      <c r="S170" s="59"/>
    </row>
    <row r="171" customFormat="false" ht="12" hidden="false" customHeight="false" outlineLevel="0" collapsed="false">
      <c r="R171" s="51"/>
      <c r="S171" s="59"/>
    </row>
    <row r="172" customFormat="false" ht="12" hidden="false" customHeight="false" outlineLevel="0" collapsed="false">
      <c r="R172" s="51"/>
      <c r="S172" s="59"/>
    </row>
    <row r="173" customFormat="false" ht="12" hidden="false" customHeight="false" outlineLevel="0" collapsed="false">
      <c r="R173" s="51"/>
      <c r="S173" s="59"/>
    </row>
    <row r="174" customFormat="false" ht="12" hidden="false" customHeight="false" outlineLevel="0" collapsed="false">
      <c r="R174" s="51"/>
      <c r="S174" s="59"/>
    </row>
    <row r="175" customFormat="false" ht="12" hidden="false" customHeight="false" outlineLevel="0" collapsed="false">
      <c r="R175" s="51"/>
      <c r="S175" s="59"/>
    </row>
    <row r="176" customFormat="false" ht="12" hidden="false" customHeight="false" outlineLevel="0" collapsed="false">
      <c r="R176" s="51"/>
      <c r="S176" s="59"/>
    </row>
    <row r="177" customFormat="false" ht="12" hidden="false" customHeight="false" outlineLevel="0" collapsed="false">
      <c r="R177" s="51"/>
      <c r="S177" s="59"/>
    </row>
    <row r="178" customFormat="false" ht="12" hidden="false" customHeight="false" outlineLevel="0" collapsed="false">
      <c r="R178" s="51"/>
      <c r="S178" s="59"/>
    </row>
    <row r="179" customFormat="false" ht="12" hidden="false" customHeight="false" outlineLevel="0" collapsed="false">
      <c r="R179" s="51"/>
      <c r="S179" s="59"/>
    </row>
    <row r="180" customFormat="false" ht="12" hidden="false" customHeight="false" outlineLevel="0" collapsed="false">
      <c r="R180" s="51"/>
    </row>
    <row r="181" customFormat="false" ht="12" hidden="false" customHeight="false" outlineLevel="0" collapsed="false">
      <c r="R181" s="51"/>
    </row>
    <row r="182" customFormat="false" ht="12" hidden="false" customHeight="false" outlineLevel="0" collapsed="false">
      <c r="R182" s="51"/>
    </row>
    <row r="183" customFormat="false" ht="12" hidden="false" customHeight="false" outlineLevel="0" collapsed="false">
      <c r="R183" s="51"/>
    </row>
    <row r="184" customFormat="false" ht="12" hidden="false" customHeight="false" outlineLevel="0" collapsed="false">
      <c r="R184" s="51"/>
    </row>
    <row r="185" customFormat="false" ht="12" hidden="false" customHeight="false" outlineLevel="0" collapsed="false">
      <c r="R185" s="51"/>
    </row>
    <row r="186" customFormat="false" ht="12" hidden="false" customHeight="false" outlineLevel="0" collapsed="false">
      <c r="R186" s="51"/>
    </row>
    <row r="187" customFormat="false" ht="12" hidden="false" customHeight="false" outlineLevel="0" collapsed="false">
      <c r="R187" s="51"/>
    </row>
    <row r="188" customFormat="false" ht="12" hidden="false" customHeight="false" outlineLevel="0" collapsed="false">
      <c r="R188" s="51"/>
    </row>
    <row r="189" customFormat="false" ht="12" hidden="false" customHeight="false" outlineLevel="0" collapsed="false">
      <c r="R189" s="51"/>
    </row>
    <row r="190" customFormat="false" ht="12" hidden="false" customHeight="false" outlineLevel="0" collapsed="false">
      <c r="R190" s="51"/>
    </row>
    <row r="191" customFormat="false" ht="12" hidden="false" customHeight="false" outlineLevel="0" collapsed="false">
      <c r="R191" s="51"/>
    </row>
    <row r="192" customFormat="false" ht="12" hidden="false" customHeight="false" outlineLevel="0" collapsed="false">
      <c r="R192" s="51"/>
    </row>
    <row r="193" customFormat="false" ht="12" hidden="false" customHeight="false" outlineLevel="0" collapsed="false">
      <c r="R193" s="67"/>
    </row>
    <row r="194" customFormat="false" ht="12" hidden="false" customHeight="false" outlineLevel="0" collapsed="false">
      <c r="R194" s="19"/>
    </row>
    <row r="195" customFormat="false" ht="12" hidden="false" customHeight="false" outlineLevel="0" collapsed="false">
      <c r="R195" s="19"/>
    </row>
  </sheetData>
  <mergeCells count="24">
    <mergeCell ref="B2:E2"/>
    <mergeCell ref="F2:K2"/>
    <mergeCell ref="B8:C8"/>
    <mergeCell ref="B9:C9"/>
    <mergeCell ref="L9:M9"/>
    <mergeCell ref="B10:C10"/>
    <mergeCell ref="L10:M10"/>
    <mergeCell ref="B11:C11"/>
    <mergeCell ref="F11:H11"/>
    <mergeCell ref="L11:M11"/>
    <mergeCell ref="B12:C12"/>
    <mergeCell ref="B13:B14"/>
    <mergeCell ref="K13:K14"/>
    <mergeCell ref="L13:L14"/>
    <mergeCell ref="M13:M14"/>
    <mergeCell ref="N13:N14"/>
    <mergeCell ref="O13:P14"/>
    <mergeCell ref="D117:E117"/>
    <mergeCell ref="I117:J117"/>
    <mergeCell ref="D118:E118"/>
    <mergeCell ref="I118:J118"/>
    <mergeCell ref="D119:E119"/>
    <mergeCell ref="I119:J119"/>
    <mergeCell ref="I120:J1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3046875" defaultRowHeight="12" zeroHeight="false" outlineLevelRow="0" outlineLevelCol="0"/>
  <cols>
    <col collapsed="false" customWidth="true" hidden="false" outlineLevel="0" max="3" min="3" style="3" width="12.14"/>
    <col collapsed="false" customWidth="true" hidden="false" outlineLevel="0" max="8" min="8" style="3" width="13.42"/>
    <col collapsed="false" customWidth="true" hidden="false" outlineLevel="0" max="9" min="9" style="3" width="13.85"/>
    <col collapsed="false" customWidth="true" hidden="false" outlineLevel="0" max="14" min="14" style="3" width="8.58"/>
    <col collapsed="false" customWidth="true" hidden="false" outlineLevel="0" max="15" min="15" style="3" width="9.85"/>
    <col collapsed="false" customWidth="true" hidden="false" outlineLevel="0" max="16" min="16" style="3" width="8.43"/>
    <col collapsed="false" customWidth="true" hidden="false" outlineLevel="0" max="17" min="17" style="3" width="8.28"/>
    <col collapsed="false" customWidth="true" hidden="false" outlineLevel="0" max="18" min="18" style="3" width="11.58"/>
  </cols>
  <sheetData>
    <row r="1" customFormat="false" ht="12" hidden="false" customHeight="false" outlineLevel="0" collapsed="false">
      <c r="A1" s="1"/>
      <c r="B1" s="1"/>
      <c r="C1" s="1"/>
      <c r="D1" s="1"/>
      <c r="E1" s="1"/>
      <c r="F1" s="4"/>
      <c r="G1" s="5"/>
      <c r="H1" s="5"/>
      <c r="I1" s="5"/>
      <c r="J1" s="5"/>
      <c r="K1" s="5"/>
      <c r="L1" s="5"/>
      <c r="M1" s="6"/>
      <c r="N1" s="1"/>
      <c r="O1" s="2"/>
      <c r="P1" s="2"/>
      <c r="Q1" s="2"/>
    </row>
    <row r="2" customFormat="false" ht="17.35" hidden="false" customHeight="false" outlineLevel="0" collapsed="false">
      <c r="A2" s="1"/>
      <c r="B2" s="99"/>
      <c r="C2" s="100"/>
      <c r="D2" s="99"/>
      <c r="E2" s="101"/>
      <c r="F2" s="8" t="s">
        <v>91</v>
      </c>
      <c r="G2" s="8"/>
      <c r="H2" s="8"/>
      <c r="I2" s="8"/>
      <c r="J2" s="8"/>
      <c r="K2" s="8"/>
      <c r="L2" s="9" t="s">
        <v>2</v>
      </c>
      <c r="M2" s="10"/>
      <c r="N2" s="1"/>
      <c r="O2" s="2"/>
      <c r="P2" s="2"/>
      <c r="Q2" s="2"/>
    </row>
    <row r="3" customFormat="false" ht="12" hidden="false" customHeight="false" outlineLevel="0" collapsed="false">
      <c r="A3" s="1"/>
      <c r="B3" s="1"/>
      <c r="C3" s="1"/>
      <c r="D3" s="1"/>
      <c r="E3" s="1"/>
      <c r="F3" s="11"/>
      <c r="G3" s="12"/>
      <c r="H3" s="12"/>
      <c r="I3" s="12"/>
      <c r="J3" s="12"/>
      <c r="K3" s="12"/>
      <c r="L3" s="12"/>
      <c r="M3" s="13"/>
      <c r="N3" s="1"/>
      <c r="O3" s="2"/>
      <c r="P3" s="2"/>
      <c r="Q3" s="2"/>
    </row>
    <row r="4" customFormat="false" ht="12" hidden="false" customHeight="false" outlineLevel="0" collapsed="false">
      <c r="A4" s="1"/>
      <c r="B4" s="1"/>
      <c r="C4" s="1"/>
      <c r="D4" s="1"/>
      <c r="E4" s="1"/>
      <c r="F4" s="18"/>
      <c r="G4" s="18"/>
      <c r="H4" s="18"/>
      <c r="I4" s="18"/>
      <c r="J4" s="18"/>
      <c r="K4" s="18"/>
      <c r="L4" s="18"/>
      <c r="M4" s="18"/>
      <c r="N4" s="1"/>
      <c r="O4" s="2"/>
      <c r="P4" s="2"/>
      <c r="Q4" s="2"/>
    </row>
    <row r="5" customFormat="false" ht="12" hidden="false" customHeight="false" outlineLevel="0" collapsed="false">
      <c r="A5" s="1"/>
    </row>
    <row r="6" customFormat="false" ht="12" hidden="false" customHeight="false" outlineLevel="0" collapsed="false">
      <c r="A6" s="1"/>
      <c r="B6" s="1" t="s">
        <v>7</v>
      </c>
      <c r="C6" s="1" t="n">
        <v>1</v>
      </c>
      <c r="D6" s="1" t="s">
        <v>4</v>
      </c>
      <c r="H6" s="1" t="s">
        <v>92</v>
      </c>
      <c r="I6" s="102" t="n">
        <v>1000000</v>
      </c>
      <c r="J6" s="103" t="s">
        <v>93</v>
      </c>
    </row>
    <row r="7" customFormat="false" ht="12" hidden="false" customHeight="false" outlineLevel="0" collapsed="false">
      <c r="A7" s="104"/>
      <c r="B7" s="1" t="s">
        <v>14</v>
      </c>
      <c r="C7" s="1" t="n">
        <v>6.2</v>
      </c>
      <c r="D7" s="1" t="s">
        <v>4</v>
      </c>
      <c r="H7" s="105" t="s">
        <v>94</v>
      </c>
      <c r="I7" s="102" t="n">
        <v>1E-009</v>
      </c>
      <c r="J7" s="103" t="s">
        <v>95</v>
      </c>
    </row>
    <row r="8" customFormat="false" ht="26.85" hidden="false" customHeight="false" outlineLevel="0" collapsed="false">
      <c r="A8" s="104"/>
      <c r="B8" s="1" t="s">
        <v>21</v>
      </c>
      <c r="C8" s="15" t="n">
        <v>0.045</v>
      </c>
      <c r="D8" s="1" t="s">
        <v>6</v>
      </c>
      <c r="H8" s="104"/>
      <c r="I8" s="106"/>
      <c r="J8" s="107"/>
      <c r="O8" s="108" t="s">
        <v>96</v>
      </c>
      <c r="P8" s="109" t="s">
        <v>97</v>
      </c>
      <c r="Q8" s="108" t="s">
        <v>98</v>
      </c>
      <c r="R8" s="108" t="s">
        <v>99</v>
      </c>
      <c r="S8" s="108" t="s">
        <v>100</v>
      </c>
      <c r="T8" s="108" t="s">
        <v>101</v>
      </c>
    </row>
    <row r="9" customFormat="false" ht="12" hidden="false" customHeight="false" outlineLevel="0" collapsed="false">
      <c r="A9" s="104"/>
      <c r="B9" s="1" t="s">
        <v>26</v>
      </c>
      <c r="C9" s="15" t="n">
        <v>0.2</v>
      </c>
      <c r="D9" s="1" t="s">
        <v>6</v>
      </c>
    </row>
    <row r="10" customFormat="false" ht="12" hidden="false" customHeight="false" outlineLevel="0" collapsed="false">
      <c r="A10" s="104"/>
    </row>
    <row r="11" customFormat="false" ht="12" hidden="false" customHeight="false" outlineLevel="0" collapsed="false">
      <c r="A11" s="104"/>
      <c r="O11" s="110" t="s">
        <v>102</v>
      </c>
      <c r="P11" s="111" t="n">
        <v>45</v>
      </c>
      <c r="Q11" s="112" t="n">
        <f aca="false">SUM(I17:I26)*6.5</f>
        <v>8.58700789158925E-007</v>
      </c>
      <c r="R11" s="113" t="n">
        <f aca="false">SUM(L26:L30)/5</f>
        <v>0.3</v>
      </c>
      <c r="S11" s="114" t="n">
        <f aca="false">4.29/R11/SUM(J17:J26)*SQRT((SUM(J17:J26)+SUM(K17:K26)*6.5)/$I$6)</f>
        <v>0.0156385946276665</v>
      </c>
      <c r="T11" s="115" t="n">
        <f aca="false">4.29/R11/SUM(J17:J26)*Q11/$I$7*SQRT((SUM(J17:J26)*$I$7/Q11+SUM(K17:K26)*6.5)/$I$6)</f>
        <v>0.655898440300933</v>
      </c>
    </row>
    <row r="12" customFormat="false" ht="12" hidden="false" customHeight="false" outlineLevel="0" collapsed="false">
      <c r="A12" s="104"/>
      <c r="K12" s="1"/>
      <c r="L12" s="116"/>
      <c r="O12" s="117" t="s">
        <v>103</v>
      </c>
      <c r="P12" s="117" t="n">
        <v>63</v>
      </c>
      <c r="Q12" s="112" t="n">
        <f aca="false">SUM(I27:I31)*6.5</f>
        <v>4.22944775724248E-007</v>
      </c>
      <c r="R12" s="113" t="n">
        <f aca="false">SUM(L17:L26)/10</f>
        <v>0.3</v>
      </c>
      <c r="S12" s="114" t="n">
        <f aca="false">4.29/R12/SUM(J27:J31)*SQRT((SUM(J27:J31)+SUM(K27:K31)*6.5)/$I$6)</f>
        <v>0.00575778892749383</v>
      </c>
      <c r="T12" s="115" t="n">
        <f aca="false">4.29/R12/SUM(J27:J31)*Q12/$I$7*SQRT((SUM(J27:J31)*$I$7/Q12+SUM(K27:K31)*6.5)/$I$6)</f>
        <v>0.121363697500298</v>
      </c>
    </row>
    <row r="13" customFormat="false" ht="12" hidden="false" customHeight="false" outlineLevel="0" collapsed="false">
      <c r="A13" s="104"/>
      <c r="B13" s="118"/>
      <c r="C13" s="119"/>
      <c r="D13" s="120"/>
      <c r="E13" s="104"/>
      <c r="F13" s="1"/>
      <c r="G13" s="1"/>
      <c r="J13" s="37"/>
      <c r="K13" s="1"/>
      <c r="L13" s="116"/>
      <c r="O13" s="121" t="s">
        <v>104</v>
      </c>
      <c r="P13" s="117" t="n">
        <v>89</v>
      </c>
      <c r="Q13" s="112" t="n">
        <f aca="false">SUM(I31:I35)*6.5</f>
        <v>4.15581883691408E-007</v>
      </c>
      <c r="R13" s="113" t="n">
        <f aca="false">SUM(L31:L35)/5</f>
        <v>0.3</v>
      </c>
      <c r="S13" s="114" t="n">
        <f aca="false">4.29/R13/SUM(J31:J35)*SQRT((SUM(J31:J35)+SUM(K31:K35)*6.5)/$I$6)</f>
        <v>0.00582482598411735</v>
      </c>
      <c r="T13" s="115" t="n">
        <f aca="false">4.29/R13/SUM(J31:J35)*Q13/$I$7*SQRT((SUM(J31:J35)*$I$7/Q13+SUM(K31:K35)*6.5)/$I$6)</f>
        <v>0.121323424321667</v>
      </c>
    </row>
    <row r="14" customFormat="false" ht="12.65" hidden="false" customHeight="false" outlineLevel="0" collapsed="false">
      <c r="A14" s="1"/>
      <c r="B14" s="91" t="s">
        <v>49</v>
      </c>
      <c r="C14" s="122" t="s">
        <v>79</v>
      </c>
      <c r="D14" s="123" t="s">
        <v>80</v>
      </c>
      <c r="E14" s="124" t="s">
        <v>80</v>
      </c>
      <c r="F14" s="89" t="s">
        <v>82</v>
      </c>
      <c r="G14" s="89" t="s">
        <v>82</v>
      </c>
      <c r="H14" s="38" t="s">
        <v>105</v>
      </c>
      <c r="I14" s="38" t="s">
        <v>105</v>
      </c>
      <c r="J14" s="38" t="s">
        <v>106</v>
      </c>
      <c r="K14" s="125" t="s">
        <v>61</v>
      </c>
      <c r="L14" s="126" t="s">
        <v>107</v>
      </c>
      <c r="M14" s="126"/>
      <c r="O14" s="117" t="s">
        <v>108</v>
      </c>
      <c r="P14" s="117" t="n">
        <v>128</v>
      </c>
      <c r="Q14" s="112" t="n">
        <f aca="false">SUM(I35:I43)*6.5</f>
        <v>7.34707507295997E-007</v>
      </c>
      <c r="R14" s="113" t="n">
        <f aca="false">SUM(L35:L43)/9</f>
        <v>0.3</v>
      </c>
      <c r="S14" s="114" t="n">
        <f aca="false">4.29/R14/SUM(J35:J43)*SQRT((SUM(J35:J43)+SUM(K35:K43)*6.5)/$I$6)</f>
        <v>0.00721355061637779</v>
      </c>
      <c r="T14" s="115" t="n">
        <f aca="false">4.29/R14/SUM(J35:J43)*Q14/$I$7*SQRT((SUM(J35:J43)*$I$7/Q14+SUM(K35:K43)*6.5)/$I$6)</f>
        <v>0.212396339416816</v>
      </c>
    </row>
    <row r="15" customFormat="false" ht="12.65" hidden="false" customHeight="false" outlineLevel="0" collapsed="false">
      <c r="A15" s="1"/>
      <c r="B15" s="91"/>
      <c r="C15" s="91" t="s">
        <v>83</v>
      </c>
      <c r="D15" s="93" t="s">
        <v>88</v>
      </c>
      <c r="E15" s="92" t="s">
        <v>89</v>
      </c>
      <c r="F15" s="92" t="s">
        <v>90</v>
      </c>
      <c r="G15" s="92" t="s">
        <v>109</v>
      </c>
      <c r="H15" s="38"/>
      <c r="I15" s="38"/>
      <c r="J15" s="38"/>
      <c r="K15" s="125"/>
      <c r="L15" s="126"/>
      <c r="M15" s="126"/>
      <c r="O15" s="127" t="s">
        <v>110</v>
      </c>
      <c r="P15" s="117" t="n">
        <v>180</v>
      </c>
      <c r="Q15" s="112" t="n">
        <f aca="false">SUM(I43:I51)*6.5</f>
        <v>7.22124572456263E-007</v>
      </c>
      <c r="R15" s="113" t="n">
        <f aca="false">SUM(L43:L51)/9</f>
        <v>0.3</v>
      </c>
      <c r="S15" s="114" t="n">
        <f aca="false">4.29/R15/SUM(J43:J51)*SQRT((SUM(J43:J51)+SUM(K43:K51)*6.5)/$I$6)</f>
        <v>0.0142218720310154</v>
      </c>
      <c r="T15" s="115" t="n">
        <f aca="false">4.29/R15/SUM(J43:J51)*Q15/$I$7*SQRT((SUM(J43:J51)*$I$7/Q15+SUM(K43:K51)*6.5)/$I$6)</f>
        <v>0.485335238355916</v>
      </c>
    </row>
    <row r="16" customFormat="false" ht="12" hidden="false" customHeight="false" outlineLevel="0" collapsed="false">
      <c r="A16" s="1"/>
      <c r="B16" s="20" t="s">
        <v>63</v>
      </c>
      <c r="C16" s="20" t="s">
        <v>64</v>
      </c>
      <c r="D16" s="20" t="s">
        <v>65</v>
      </c>
      <c r="E16" s="20" t="s">
        <v>65</v>
      </c>
      <c r="F16" s="20"/>
      <c r="G16" s="20"/>
      <c r="H16" s="41" t="s">
        <v>111</v>
      </c>
      <c r="I16" s="20" t="s">
        <v>95</v>
      </c>
      <c r="J16" s="20" t="s">
        <v>112</v>
      </c>
      <c r="K16" s="111" t="str">
        <f aca="false">'Calculs lentille'!N15</f>
        <v>Cts/s/keV</v>
      </c>
      <c r="L16" s="20" t="s">
        <v>113</v>
      </c>
      <c r="M16" s="20" t="s">
        <v>114</v>
      </c>
      <c r="O16" s="128" t="s">
        <v>115</v>
      </c>
      <c r="P16" s="117" t="n">
        <f aca="false">P15+52</f>
        <v>232</v>
      </c>
      <c r="Q16" s="112" t="n">
        <f aca="false">SUM(I51:I59)*6.5</f>
        <v>7.1295380971007E-007</v>
      </c>
      <c r="R16" s="113" t="n">
        <f aca="false">SUM(L51:L59)/9</f>
        <v>0.3</v>
      </c>
      <c r="S16" s="114" t="n">
        <f aca="false">4.29/R16/SUM(J51:J59)*SQRT((SUM(J51:J59)+SUM(K51:K59)*6.5)/$I$6)</f>
        <v>0.0241941958480756</v>
      </c>
      <c r="T16" s="115" t="n">
        <f aca="false">4.29/R16/SUM(J51:J59)*Q16/$I$7*SQRT((SUM(J51:J59)*$I$7/Q16+SUM(K51:K59)*6.5)/$I$6)</f>
        <v>1.0398260425265</v>
      </c>
    </row>
    <row r="17" customFormat="false" ht="12" hidden="false" customHeight="false" outlineLevel="0" collapsed="false">
      <c r="A17" s="1"/>
      <c r="B17" s="50" t="n">
        <v>42.5606061</v>
      </c>
      <c r="C17" s="60" t="n">
        <v>330</v>
      </c>
      <c r="D17" s="129" t="n">
        <v>0.61</v>
      </c>
      <c r="E17" s="129" t="n">
        <v>15.98</v>
      </c>
      <c r="F17" s="51" t="n">
        <f aca="false">1-EXP(-D17*$C$6*$C$8)*EXP(-E17*$C$7*$C$9)</f>
        <v>0.999999997587615</v>
      </c>
      <c r="G17" s="51" t="n">
        <v>0.01</v>
      </c>
      <c r="H17" s="130" t="n">
        <f aca="false">10*POWER(B17,-2.05)</f>
        <v>0.00457650563745739</v>
      </c>
      <c r="I17" s="55" t="n">
        <f aca="false">0.0000000016*B17*B17*H17</f>
        <v>1.32638497137185E-008</v>
      </c>
      <c r="J17" s="51" t="n">
        <f aca="false">H17*6.5*C17*F17*G17</f>
        <v>0.0981660456866467</v>
      </c>
      <c r="K17" s="131" t="n">
        <f aca="false">'Calculs mirroir'!N68</f>
        <v>1.63239763480376E-005</v>
      </c>
      <c r="L17" s="132" t="n">
        <v>0.3</v>
      </c>
      <c r="M17" s="133" t="n">
        <f aca="false">4.29/0.3/SQRT(J17)</f>
        <v>45.6410249694195</v>
      </c>
      <c r="O17" s="128" t="s">
        <v>116</v>
      </c>
      <c r="P17" s="117" t="n">
        <v>284</v>
      </c>
      <c r="Q17" s="112" t="n">
        <f aca="false">SUM(I59:I67)*6.5</f>
        <v>7.05748348610508E-007</v>
      </c>
      <c r="R17" s="113" t="n">
        <f aca="false">SUM(L59:L67)/9</f>
        <v>0.3</v>
      </c>
      <c r="S17" s="114" t="n">
        <f aca="false">4.29/R17/SUM(J59:J67)*SQRT((SUM(J59:J67)+SUM(K59:K67)*6.5)/$I$6)</f>
        <v>0.036841419100624</v>
      </c>
      <c r="T17" s="115" t="n">
        <f aca="false">4.29/R17/SUM(J59:J67)*Q17/$I$7*SQRT((SUM(J59:J67)*$I$7/Q17+SUM(K59:K67)*6.5)/$I$6)</f>
        <v>2.02771585047328</v>
      </c>
    </row>
    <row r="18" customFormat="false" ht="12" hidden="false" customHeight="false" outlineLevel="0" collapsed="false">
      <c r="A18" s="1"/>
      <c r="B18" s="50" t="n">
        <v>43.3636364</v>
      </c>
      <c r="C18" s="60" t="n">
        <v>330</v>
      </c>
      <c r="D18" s="134" t="n">
        <v>0.586</v>
      </c>
      <c r="E18" s="134" t="n">
        <v>15.2</v>
      </c>
      <c r="F18" s="51" t="n">
        <f aca="false">1-EXP(-D18*$C$6*$C$8)*EXP(-E18*$C$7*$C$9)</f>
        <v>0.999999993647199</v>
      </c>
      <c r="G18" s="51" t="n">
        <v>0.01</v>
      </c>
      <c r="H18" s="130" t="n">
        <f aca="false">10*POWER(B18,-2.05)</f>
        <v>0.00440445651725066</v>
      </c>
      <c r="I18" s="55" t="n">
        <f aca="false">0.0000000016*B18*B18*H18</f>
        <v>1.32514590227341E-008</v>
      </c>
      <c r="J18" s="51" t="n">
        <f aca="false">H18*6.5*C18*F18*G18</f>
        <v>0.0944755916948419</v>
      </c>
      <c r="K18" s="135" t="n">
        <f aca="false">'Calculs mirroir'!N69</f>
        <v>1.61916641401272E-005</v>
      </c>
      <c r="L18" s="132" t="n">
        <v>0.3</v>
      </c>
      <c r="M18" s="133" t="n">
        <f aca="false">4.29/0.3/SQRT(J18)</f>
        <v>46.5239121712937</v>
      </c>
      <c r="O18" s="128" t="s">
        <v>117</v>
      </c>
      <c r="P18" s="117" t="n">
        <f aca="false">P17+52</f>
        <v>336</v>
      </c>
      <c r="Q18" s="112" t="n">
        <f aca="false">SUM(I67:I75)*6.5</f>
        <v>6.9982167965539E-007</v>
      </c>
      <c r="R18" s="113" t="n">
        <f aca="false">SUM(L67:L75)/9</f>
        <v>0.3</v>
      </c>
      <c r="S18" s="114" t="n">
        <f aca="false">4.29/R18/SUM(J67:J75)*SQRT((SUM(J67:J75)+SUM(K67:K75)*6.5)/$I$6)</f>
        <v>0.0523017760732087</v>
      </c>
      <c r="T18" s="115" t="n">
        <f aca="false">4.29/R18/SUM(J67:J75)*Q18/$I$7*SQRT((SUM(J67:J75)*$I$7/Q18+SUM(K67:K75)*6.5)/$I$6)</f>
        <v>3.6533449756217</v>
      </c>
    </row>
    <row r="19" customFormat="false" ht="12" hidden="false" customHeight="false" outlineLevel="0" collapsed="false">
      <c r="A19" s="1"/>
      <c r="B19" s="50" t="n">
        <v>44.1666667</v>
      </c>
      <c r="C19" s="60" t="n">
        <v>330</v>
      </c>
      <c r="D19" s="134" t="n">
        <v>0.563</v>
      </c>
      <c r="E19" s="134" t="n">
        <v>14.47</v>
      </c>
      <c r="F19" s="51" t="n">
        <f aca="false">1-EXP(-D19*$C$6*$C$8)*EXP(-E19*$C$7*$C$9)</f>
        <v>0.999999984276902</v>
      </c>
      <c r="G19" s="51" t="n">
        <v>0.01</v>
      </c>
      <c r="H19" s="130" t="n">
        <f aca="false">10*POWER(B19,-2.05)</f>
        <v>0.00424185697460994</v>
      </c>
      <c r="I19" s="55" t="n">
        <f aca="false">0.0000000016*B19*B19*H19</f>
        <v>1.32393069551831E-008</v>
      </c>
      <c r="J19" s="51" t="n">
        <f aca="false">H19*6.5*C19*F19*G19</f>
        <v>0.0909878306747727</v>
      </c>
      <c r="K19" s="135" t="n">
        <f aca="false">'Calculs mirroir'!N70</f>
        <v>1.60624771590596E-005</v>
      </c>
      <c r="L19" s="132" t="n">
        <v>0.3</v>
      </c>
      <c r="M19" s="133" t="n">
        <f aca="false">4.29/0.3/SQRT(J19)</f>
        <v>47.4072083671021</v>
      </c>
      <c r="O19" s="128" t="s">
        <v>118</v>
      </c>
      <c r="P19" s="136" t="n">
        <v>388</v>
      </c>
      <c r="Q19" s="112" t="n">
        <f aca="false">SUM(I75:I83)*6.5</f>
        <v>6.94793310802213E-007</v>
      </c>
      <c r="R19" s="113" t="n">
        <f aca="false">SUM(L75:L83)/9</f>
        <v>0.3</v>
      </c>
      <c r="S19" s="114" t="n">
        <f aca="false">4.29/R19/SUM(J75:J83)*SQRT((SUM(J75:J83)+SUM(K75:K83)*6.5)/$I$6)</f>
        <v>0.0712432958265537</v>
      </c>
      <c r="T19" s="115" t="n">
        <f aca="false">4.29/R19/SUM(J75:J83)*Q19/$I$7*SQRT((SUM(J75:J83)*$I$7/Q19+SUM(K75:K83)*6.5)/$I$6)</f>
        <v>6.21562989025997</v>
      </c>
    </row>
    <row r="20" customFormat="false" ht="12" hidden="false" customHeight="false" outlineLevel="0" collapsed="false">
      <c r="A20" s="1"/>
      <c r="B20" s="50" t="n">
        <v>44.969697</v>
      </c>
      <c r="C20" s="60" t="n">
        <v>330</v>
      </c>
      <c r="D20" s="134" t="n">
        <v>0.542</v>
      </c>
      <c r="E20" s="134" t="n">
        <v>13.78</v>
      </c>
      <c r="F20" s="51" t="n">
        <f aca="false">1-EXP(-D20*$C$6*$C$8)*EXP(-E20*$C$7*$C$9)</f>
        <v>0.999999962971946</v>
      </c>
      <c r="G20" s="51" t="n">
        <v>0.01</v>
      </c>
      <c r="H20" s="130" t="n">
        <f aca="false">10*POWER(B20,-2.05)</f>
        <v>0.00408803004715017</v>
      </c>
      <c r="I20" s="55" t="n">
        <f aca="false">0.0000000016*B20*B20*H20</f>
        <v>1.32273847003122E-008</v>
      </c>
      <c r="J20" s="51" t="n">
        <f aca="false">H20*6.5*C20*F20*G20</f>
        <v>0.087688241264446</v>
      </c>
      <c r="K20" s="135" t="n">
        <f aca="false">'Calculs mirroir'!N71</f>
        <v>1.59362167496534E-005</v>
      </c>
      <c r="L20" s="132" t="n">
        <v>0.3</v>
      </c>
      <c r="M20" s="133" t="n">
        <f aca="false">4.29/0.3/SQRT(J20)</f>
        <v>48.2909064706477</v>
      </c>
    </row>
    <row r="21" customFormat="false" ht="12" hidden="false" customHeight="false" outlineLevel="0" collapsed="false">
      <c r="A21" s="1"/>
      <c r="B21" s="50" t="n">
        <v>45.7727273</v>
      </c>
      <c r="C21" s="60" t="n">
        <v>330</v>
      </c>
      <c r="D21" s="134" t="n">
        <v>0.522</v>
      </c>
      <c r="E21" s="134" t="n">
        <v>13.14</v>
      </c>
      <c r="F21" s="51" t="n">
        <f aca="false">1-EXP(-D21*$C$6*$C$8)*EXP(-E21*$C$7*$C$9)</f>
        <v>0.999999918044548</v>
      </c>
      <c r="G21" s="51" t="n">
        <v>0.01</v>
      </c>
      <c r="H21" s="130" t="n">
        <f aca="false">10*POWER(B21,-2.05)</f>
        <v>0.00394235819165797</v>
      </c>
      <c r="I21" s="55" t="n">
        <f aca="false">0.0000000016*B21*B21*H21</f>
        <v>1.32156839228315E-008</v>
      </c>
      <c r="J21" s="51" t="n">
        <f aca="false">H21*6.5*C21*F21*G21</f>
        <v>0.0845635762806167</v>
      </c>
      <c r="K21" s="135" t="n">
        <f aca="false">'Calculs mirroir'!N72</f>
        <v>1.58129318957681E-005</v>
      </c>
      <c r="L21" s="132" t="n">
        <v>0.3</v>
      </c>
      <c r="M21" s="133" t="n">
        <f aca="false">4.29/0.3/SQRT(J21)</f>
        <v>49.1749997904854</v>
      </c>
    </row>
    <row r="22" customFormat="false" ht="12" hidden="false" customHeight="false" outlineLevel="0" collapsed="false">
      <c r="A22" s="1"/>
      <c r="B22" s="50" t="n">
        <v>46.5757576</v>
      </c>
      <c r="C22" s="60" t="n">
        <v>330</v>
      </c>
      <c r="D22" s="134" t="n">
        <v>0.504</v>
      </c>
      <c r="E22" s="134" t="n">
        <v>12.54</v>
      </c>
      <c r="F22" s="51" t="n">
        <f aca="false">1-EXP(-D22*$C$6*$C$8)*EXP(-E22*$C$7*$C$9)</f>
        <v>0.999999827398437</v>
      </c>
      <c r="G22" s="51" t="n">
        <v>0.01</v>
      </c>
      <c r="H22" s="130" t="n">
        <f aca="false">10*POWER(B22,-2.05)</f>
        <v>0.00380427714282425</v>
      </c>
      <c r="I22" s="55" t="n">
        <f aca="false">0.0000000016*B22*B22*H22</f>
        <v>1.32041967294355E-008</v>
      </c>
      <c r="J22" s="51" t="n">
        <f aca="false">H22*6.5*C22*F22*G22</f>
        <v>0.0816017306289914</v>
      </c>
      <c r="K22" s="135" t="n">
        <f aca="false">'Calculs mirroir'!N73</f>
        <v>1.56924650776686E-005</v>
      </c>
      <c r="L22" s="132" t="n">
        <v>0.3</v>
      </c>
      <c r="M22" s="133" t="n">
        <f aca="false">4.29/0.3/SQRT(J22)</f>
        <v>50.0594821588312</v>
      </c>
    </row>
    <row r="23" customFormat="false" ht="12" hidden="false" customHeight="false" outlineLevel="0" collapsed="false">
      <c r="A23" s="1"/>
      <c r="B23" s="50" t="n">
        <v>47.3787879</v>
      </c>
      <c r="C23" s="60" t="n">
        <v>330</v>
      </c>
      <c r="D23" s="134" t="n">
        <v>0.487</v>
      </c>
      <c r="E23" s="134" t="n">
        <v>11.97</v>
      </c>
      <c r="F23" s="51" t="n">
        <f aca="false">1-EXP(-D23*$C$6*$C$8)*EXP(-E23*$C$7*$C$9)</f>
        <v>0.999999649783744</v>
      </c>
      <c r="G23" s="51" t="n">
        <v>0.01</v>
      </c>
      <c r="H23" s="130" t="n">
        <f aca="false">10*POWER(B23,-2.05)</f>
        <v>0.00367327049918</v>
      </c>
      <c r="I23" s="55" t="n">
        <f aca="false">0.0000000016*B23*B23*H23</f>
        <v>1.31929156382142E-008</v>
      </c>
      <c r="J23" s="51" t="n">
        <f aca="false">H23*6.5*C23*F23*G23</f>
        <v>0.0787916246132935</v>
      </c>
      <c r="K23" s="135" t="n">
        <f aca="false">'Calculs mirroir'!N74</f>
        <v>1.55746664608455E-005</v>
      </c>
      <c r="L23" s="132" t="n">
        <v>0.3</v>
      </c>
      <c r="M23" s="133" t="n">
        <f aca="false">4.29/0.3/SQRT(J23)</f>
        <v>50.9443481649249</v>
      </c>
    </row>
    <row r="24" customFormat="false" ht="12" hidden="false" customHeight="false" outlineLevel="0" collapsed="false">
      <c r="A24" s="1"/>
      <c r="B24" s="50" t="n">
        <v>48.1818182</v>
      </c>
      <c r="C24" s="60" t="n">
        <v>330</v>
      </c>
      <c r="D24" s="134" t="n">
        <v>0.471</v>
      </c>
      <c r="E24" s="134" t="n">
        <v>11.44</v>
      </c>
      <c r="F24" s="51" t="n">
        <f aca="false">1-EXP(-D24*$C$6*$C$8)*EXP(-E24*$C$7*$C$9)</f>
        <v>0.999999323812208</v>
      </c>
      <c r="G24" s="51" t="n">
        <v>0.01</v>
      </c>
      <c r="H24" s="130" t="n">
        <f aca="false">10*POWER(B24,-2.05)</f>
        <v>0.00354886493953779</v>
      </c>
      <c r="I24" s="55" t="n">
        <f aca="false">0.0000000016*B24*B24*H24</f>
        <v>1.31818335506582E-008</v>
      </c>
      <c r="J24" s="51" t="n">
        <f aca="false">H24*6.5*C24*F24*G24</f>
        <v>0.0761231014795389</v>
      </c>
      <c r="K24" s="135" t="n">
        <f aca="false">'Calculs mirroir'!N75</f>
        <v>1.5459399724886E-005</v>
      </c>
      <c r="L24" s="132" t="n">
        <v>0.3</v>
      </c>
      <c r="M24" s="133" t="n">
        <f aca="false">4.29/0.3/SQRT(J24)</f>
        <v>51.8295932113797</v>
      </c>
    </row>
    <row r="25" customFormat="false" ht="12" hidden="false" customHeight="false" outlineLevel="0" collapsed="false">
      <c r="A25" s="1"/>
      <c r="B25" s="50" t="n">
        <v>48.9848485</v>
      </c>
      <c r="C25" s="60" t="n">
        <v>330</v>
      </c>
      <c r="D25" s="134" t="n">
        <v>0.456</v>
      </c>
      <c r="E25" s="134" t="n">
        <v>10.94</v>
      </c>
      <c r="F25" s="51" t="n">
        <f aca="false">1-EXP(-D25*$C$6*$C$8)*EXP(-E25*$C$7*$C$9)</f>
        <v>0.9999987421668</v>
      </c>
      <c r="G25" s="51" t="n">
        <v>0.01</v>
      </c>
      <c r="H25" s="130" t="n">
        <f aca="false">10*POWER(B25,-2.05)</f>
        <v>0.00343062598746135</v>
      </c>
      <c r="I25" s="55" t="n">
        <f aca="false">0.0000000016*B25*B25*H25</f>
        <v>1.31709437260014E-008</v>
      </c>
      <c r="J25" s="51" t="n">
        <f aca="false">H25*6.5*C25*F25*G25</f>
        <v>0.0735868348709655</v>
      </c>
      <c r="K25" s="135" t="n">
        <f aca="false">'Calculs mirroir'!N76</f>
        <v>1.53467756980749E-005</v>
      </c>
      <c r="L25" s="132" t="n">
        <v>0.3</v>
      </c>
      <c r="M25" s="133" t="n">
        <f aca="false">4.29/0.3/SQRT(J25)</f>
        <v>52.7152142277869</v>
      </c>
    </row>
    <row r="26" customFormat="false" ht="12" hidden="false" customHeight="false" outlineLevel="0" collapsed="false">
      <c r="A26" s="1"/>
      <c r="B26" s="50" t="n">
        <v>49.7878788</v>
      </c>
      <c r="C26" s="60" t="n">
        <v>330</v>
      </c>
      <c r="D26" s="134" t="n">
        <v>0.442</v>
      </c>
      <c r="E26" s="134" t="n">
        <v>10.47</v>
      </c>
      <c r="F26" s="51" t="n">
        <f aca="false">1-EXP(-D26*$C$6*$C$8)*EXP(-E26*$C$7*$C$9)</f>
        <v>0.999997745742709</v>
      </c>
      <c r="G26" s="51" t="n">
        <v>0.01</v>
      </c>
      <c r="H26" s="130" t="n">
        <f aca="false">10*POWER(B26,-2.05)</f>
        <v>0.00331815425322059</v>
      </c>
      <c r="I26" s="55" t="n">
        <f aca="false">0.0000000016*B26*B26*H26</f>
        <v>1.3160239757669E-008</v>
      </c>
      <c r="J26" s="51" t="n">
        <f aca="false">H26*6.5*C26*F26*G26</f>
        <v>0.0711742482861519</v>
      </c>
      <c r="K26" s="135" t="n">
        <f aca="false">'Calculs mirroir'!N77</f>
        <v>1.52364425105827E-005</v>
      </c>
      <c r="L26" s="132" t="n">
        <v>0.3</v>
      </c>
      <c r="M26" s="133" t="n">
        <f aca="false">4.29/0.3/SQRT(J26)</f>
        <v>53.6012099194655</v>
      </c>
    </row>
    <row r="27" customFormat="false" ht="12" hidden="false" customHeight="false" outlineLevel="0" collapsed="false">
      <c r="A27" s="1"/>
      <c r="B27" s="50" t="n">
        <v>50</v>
      </c>
      <c r="C27" s="94" t="n">
        <v>3500</v>
      </c>
      <c r="D27" s="52" t="n">
        <v>0.4385</v>
      </c>
      <c r="E27" s="58" t="n">
        <v>10.67</v>
      </c>
      <c r="F27" s="51" t="n">
        <f aca="false">1-EXP(-D27*$C$6*$C$8)*EXP(-E27*$C$7*$C$9)</f>
        <v>0.999998240590823</v>
      </c>
      <c r="G27" s="51" t="n">
        <v>0.01</v>
      </c>
      <c r="H27" s="130" t="n">
        <f aca="false">10*POWER(B27,-2.05)</f>
        <v>0.00328936063770756</v>
      </c>
      <c r="I27" s="55" t="n">
        <f aca="false">0.0000000016*B27*B27*H27</f>
        <v>1.31574425508302E-008</v>
      </c>
      <c r="J27" s="51" t="n">
        <f aca="false">H27*6.5*C27*F27*G27</f>
        <v>0.7483282284606</v>
      </c>
      <c r="K27" s="59" t="n">
        <f aca="false">'Calculs lentille'!N16</f>
        <v>2.48355027887381E-005</v>
      </c>
      <c r="L27" s="132" t="n">
        <v>0.3</v>
      </c>
      <c r="M27" s="133" t="n">
        <f aca="false">4.29/0.3/SQRT(J27)</f>
        <v>16.5306516256024</v>
      </c>
    </row>
    <row r="28" customFormat="false" ht="12" hidden="false" customHeight="false" outlineLevel="0" collapsed="false">
      <c r="A28" s="1"/>
      <c r="B28" s="50" t="n">
        <f aca="false">B27+6.5</f>
        <v>56.5</v>
      </c>
      <c r="C28" s="94" t="n">
        <v>6800</v>
      </c>
      <c r="D28" s="52" t="n">
        <v>0.3529</v>
      </c>
      <c r="E28" s="58" t="n">
        <v>7.688</v>
      </c>
      <c r="F28" s="51" t="n">
        <f aca="false">1-EXP(-D28*$C$6*$C$8)*EXP(-E28*$C$7*$C$9)</f>
        <v>0.999928727535694</v>
      </c>
      <c r="G28" s="51" t="n">
        <v>0.01</v>
      </c>
      <c r="H28" s="130" t="n">
        <f aca="false">10*POWER(B28,-2.05)</f>
        <v>0.00256035792651652</v>
      </c>
      <c r="I28" s="55" t="n">
        <f aca="false">0.0000000016*B28*B28*H28</f>
        <v>1.30772841454758E-008</v>
      </c>
      <c r="J28" s="51" t="n">
        <f aca="false">H28*6.5*C28*F28*G28</f>
        <v>1.13159754602593</v>
      </c>
      <c r="K28" s="59" t="n">
        <f aca="false">'Calculs lentille'!N17</f>
        <v>2.35080592786266E-005</v>
      </c>
      <c r="L28" s="132" t="n">
        <v>0.3</v>
      </c>
      <c r="M28" s="133" t="n">
        <f aca="false">4.29/0.3/SQRT(J28)</f>
        <v>13.4428093374849</v>
      </c>
    </row>
    <row r="29" customFormat="false" ht="12" hidden="false" customHeight="false" outlineLevel="0" collapsed="false">
      <c r="A29" s="1"/>
      <c r="B29" s="50" t="n">
        <f aca="false">B28+6.5</f>
        <v>63</v>
      </c>
      <c r="C29" s="94" t="n">
        <v>10100</v>
      </c>
      <c r="D29" s="52" t="n">
        <v>0.2982</v>
      </c>
      <c r="E29" s="58" t="n">
        <v>5.738</v>
      </c>
      <c r="F29" s="51" t="n">
        <f aca="false">1-EXP(-D29*$C$6*$C$8)*EXP(-E29*$C$7*$C$9)</f>
        <v>0.99919810990649</v>
      </c>
      <c r="G29" s="51" t="n">
        <v>0.01</v>
      </c>
      <c r="H29" s="130" t="n">
        <f aca="false">10*POWER(B29,-2.05)</f>
        <v>0.00204810337683497</v>
      </c>
      <c r="I29" s="55" t="n">
        <f aca="false">0.0000000016*B29*B29*H29</f>
        <v>1.30062756842528E-008</v>
      </c>
      <c r="J29" s="51" t="n">
        <f aca="false">H29*6.5*C29*F29*G29</f>
        <v>1.34350166161696</v>
      </c>
      <c r="K29" s="59" t="n">
        <f aca="false">'Calculs lentille'!N18</f>
        <v>2.24090489986794E-005</v>
      </c>
      <c r="L29" s="132" t="n">
        <v>0.3</v>
      </c>
      <c r="M29" s="133" t="n">
        <f aca="false">4.29/0.3/SQRT(J29)</f>
        <v>12.3372093267278</v>
      </c>
    </row>
    <row r="30" customFormat="false" ht="12" hidden="false" customHeight="false" outlineLevel="0" collapsed="false">
      <c r="A30" s="1"/>
      <c r="B30" s="50" t="n">
        <f aca="false">B29+6.5</f>
        <v>69.5</v>
      </c>
      <c r="C30" s="94" t="n">
        <v>13400</v>
      </c>
      <c r="D30" s="52" t="n">
        <v>0.2613</v>
      </c>
      <c r="E30" s="58" t="n">
        <v>4.405</v>
      </c>
      <c r="F30" s="51" t="n">
        <f aca="false">1-EXP(-D30*$C$6*$C$8)*EXP(-E30*$C$7*$C$9)</f>
        <v>0.995805405053574</v>
      </c>
      <c r="G30" s="51" t="n">
        <v>0.01</v>
      </c>
      <c r="H30" s="130" t="n">
        <f aca="false">10*POWER(B30,-2.05)</f>
        <v>0.00167467736565779</v>
      </c>
      <c r="I30" s="55" t="n">
        <f aca="false">0.0000000016*B30*B30*H30</f>
        <v>1.29425765527496E-008</v>
      </c>
      <c r="J30" s="51" t="n">
        <f aca="false">H30*6.5*C30*F30*G30</f>
        <v>1.45252556479777</v>
      </c>
      <c r="K30" s="59" t="n">
        <f aca="false">'Calculs lentille'!N19</f>
        <v>2.15878754365034E-005</v>
      </c>
      <c r="L30" s="132" t="n">
        <v>0.3</v>
      </c>
      <c r="M30" s="133" t="n">
        <f aca="false">4.29/0.3/SQRT(J30)</f>
        <v>11.8651749187856</v>
      </c>
    </row>
    <row r="31" customFormat="false" ht="12" hidden="false" customHeight="false" outlineLevel="0" collapsed="false">
      <c r="A31" s="1"/>
      <c r="B31" s="50" t="n">
        <f aca="false">B30+6.5</f>
        <v>76</v>
      </c>
      <c r="C31" s="94" t="n">
        <v>16700</v>
      </c>
      <c r="D31" s="52" t="n">
        <v>0.2352</v>
      </c>
      <c r="E31" s="58" t="n">
        <v>3.464</v>
      </c>
      <c r="F31" s="51" t="n">
        <f aca="false">1-EXP(-D31*$C$6*$C$8)*EXP(-E31*$C$7*$C$9)</f>
        <v>0.986511853280479</v>
      </c>
      <c r="G31" s="51" t="n">
        <v>0.01</v>
      </c>
      <c r="H31" s="130" t="n">
        <f aca="false">10*POWER(B31,-2.05)</f>
        <v>0.0013942226563789</v>
      </c>
      <c r="I31" s="55" t="n">
        <f aca="false">0.0000000016*B31*B31*H31</f>
        <v>1.28848481011912E-008</v>
      </c>
      <c r="J31" s="51" t="n">
        <f aca="false">H31*6.5*C31*F31*G31</f>
        <v>1.49301534523184</v>
      </c>
      <c r="K31" s="59" t="n">
        <f aca="false">'Calculs lentille'!N20</f>
        <v>2.11877342643905E-005</v>
      </c>
      <c r="L31" s="132" t="n">
        <v>0.3</v>
      </c>
      <c r="M31" s="133" t="n">
        <f aca="false">4.29/0.3/SQRT(J31)</f>
        <v>11.7031804588608</v>
      </c>
    </row>
    <row r="32" customFormat="false" ht="12" hidden="false" customHeight="false" outlineLevel="0" collapsed="false">
      <c r="A32" s="1"/>
      <c r="B32" s="50" t="n">
        <f aca="false">B31+6.5</f>
        <v>82.5</v>
      </c>
      <c r="C32" s="94" t="n">
        <v>20000</v>
      </c>
      <c r="D32" s="52" t="n">
        <v>0.2161</v>
      </c>
      <c r="E32" s="58" t="n">
        <v>2.78</v>
      </c>
      <c r="F32" s="51" t="n">
        <f aca="false">1-EXP(-D32*$C$6*$C$8)*EXP(-E32*$C$7*$C$9)</f>
        <v>0.968473426953695</v>
      </c>
      <c r="G32" s="51" t="n">
        <v>0.01</v>
      </c>
      <c r="H32" s="130" t="n">
        <f aca="false">10*POWER(B32,-2.05)</f>
        <v>0.00117833670330957</v>
      </c>
      <c r="I32" s="55" t="n">
        <f aca="false">0.0000000016*B32*B32*H32</f>
        <v>1.28320866990412E-008</v>
      </c>
      <c r="J32" s="51" t="n">
        <f aca="false">H32*6.5*C32*F32*G32</f>
        <v>1.4835441207074</v>
      </c>
      <c r="K32" s="59" t="n">
        <f aca="false">'Calculs lentille'!N21</f>
        <v>2.13195471421786E-005</v>
      </c>
      <c r="L32" s="132" t="n">
        <v>0.3</v>
      </c>
      <c r="M32" s="133" t="n">
        <f aca="false">4.29/0.3/SQRT(J32)</f>
        <v>11.7404786757965</v>
      </c>
    </row>
    <row r="33" customFormat="false" ht="12" hidden="false" customHeight="false" outlineLevel="0" collapsed="false">
      <c r="A33" s="1"/>
      <c r="B33" s="50" t="n">
        <f aca="false">B32+6.5</f>
        <v>89</v>
      </c>
      <c r="C33" s="94" t="n">
        <f aca="false">C32-215</f>
        <v>19785</v>
      </c>
      <c r="D33" s="52" t="n">
        <v>0.2015</v>
      </c>
      <c r="E33" s="58" t="n">
        <v>2.272</v>
      </c>
      <c r="F33" s="51" t="n">
        <f aca="false">1-EXP(-D33*$C$6*$C$8)*EXP(-E33*$C$7*$C$9)</f>
        <v>0.940771207764784</v>
      </c>
      <c r="G33" s="51" t="n">
        <v>0.01</v>
      </c>
      <c r="H33" s="130" t="n">
        <f aca="false">10*POWER(B33,-2.05)</f>
        <v>0.00100867321023864</v>
      </c>
      <c r="I33" s="55" t="n">
        <f aca="false">0.0000000016*B33*B33*H33</f>
        <v>1.27835207972804E-008</v>
      </c>
      <c r="J33" s="51" t="n">
        <f aca="false">H33*6.5*C33*F33*G33</f>
        <v>1.22034862177559</v>
      </c>
      <c r="K33" s="59" t="n">
        <f aca="false">'Calculs lentille'!N22</f>
        <v>1.91594905527386E-005</v>
      </c>
      <c r="L33" s="132" t="n">
        <v>0.3</v>
      </c>
      <c r="M33" s="133" t="n">
        <f aca="false">4.29/0.3/SQRT(J33)</f>
        <v>12.9447622973296</v>
      </c>
    </row>
    <row r="34" customFormat="false" ht="12" hidden="false" customHeight="false" outlineLevel="0" collapsed="false">
      <c r="A34" s="1"/>
      <c r="B34" s="50" t="n">
        <f aca="false">B33+6.5</f>
        <v>95.5</v>
      </c>
      <c r="C34" s="94" t="n">
        <f aca="false">C33-215</f>
        <v>19570</v>
      </c>
      <c r="D34" s="52" t="n">
        <v>0.1901</v>
      </c>
      <c r="E34" s="58" t="n">
        <v>1.886</v>
      </c>
      <c r="F34" s="51" t="n">
        <f aca="false">1-EXP(-D34*$C$6*$C$8)*EXP(-E34*$C$7*$C$9)</f>
        <v>0.904362903931381</v>
      </c>
      <c r="G34" s="51" t="n">
        <v>0.01</v>
      </c>
      <c r="H34" s="130" t="n">
        <f aca="false">10*POWER(B34,-2.05)</f>
        <v>0.000872957475259842</v>
      </c>
      <c r="I34" s="55" t="n">
        <f aca="false">0.0000000016*B34*B34*H34</f>
        <v>1.27385446619817E-008</v>
      </c>
      <c r="J34" s="51" t="n">
        <f aca="false">H34*6.5*C34*F34*G34</f>
        <v>1.00424576804747</v>
      </c>
      <c r="K34" s="59" t="n">
        <f aca="false">'Calculs lentille'!N23</f>
        <v>1.85614430942228E-005</v>
      </c>
      <c r="L34" s="132" t="n">
        <v>0.3</v>
      </c>
      <c r="M34" s="133" t="n">
        <f aca="false">4.29/0.3/SQRT(J34)</f>
        <v>14.2697390850583</v>
      </c>
    </row>
    <row r="35" customFormat="false" ht="12" hidden="false" customHeight="false" outlineLevel="0" collapsed="false">
      <c r="A35" s="1"/>
      <c r="B35" s="50" t="n">
        <f aca="false">B34+6.5</f>
        <v>102</v>
      </c>
      <c r="C35" s="94" t="n">
        <f aca="false">C34-215</f>
        <v>19355</v>
      </c>
      <c r="D35" s="52" t="n">
        <v>0.1809</v>
      </c>
      <c r="E35" s="58" t="n">
        <v>1.587</v>
      </c>
      <c r="F35" s="51" t="n">
        <f aca="false">1-EXP(-D35*$C$6*$C$8)*EXP(-E35*$C$7*$C$9)</f>
        <v>0.861380221446341</v>
      </c>
      <c r="G35" s="51" t="n">
        <v>0.01</v>
      </c>
      <c r="H35" s="130" t="n">
        <f aca="false">10*POWER(B35,-2.05)</f>
        <v>0.000762727926432636</v>
      </c>
      <c r="I35" s="55" t="n">
        <f aca="false">0.0000000016*B35*B35*H35</f>
        <v>1.26966741545682E-008</v>
      </c>
      <c r="J35" s="51" t="n">
        <f aca="false">H35*6.5*C35*F35*G35</f>
        <v>0.826553702624969</v>
      </c>
      <c r="K35" s="59" t="n">
        <f aca="false">'Calculs lentille'!N24</f>
        <v>1.80205113586847E-005</v>
      </c>
      <c r="L35" s="132" t="n">
        <v>0.3</v>
      </c>
      <c r="M35" s="133" t="n">
        <f aca="false">4.29/0.3/SQRT(J35)</f>
        <v>15.7289778055618</v>
      </c>
    </row>
    <row r="36" customFormat="false" ht="12" hidden="false" customHeight="false" outlineLevel="0" collapsed="false">
      <c r="A36" s="1"/>
      <c r="B36" s="50" t="n">
        <f aca="false">B35+6.5</f>
        <v>108.5</v>
      </c>
      <c r="C36" s="94" t="n">
        <f aca="false">C35-215</f>
        <v>19140</v>
      </c>
      <c r="D36" s="52" t="n">
        <v>0.1734</v>
      </c>
      <c r="E36" s="58" t="n">
        <v>1.352</v>
      </c>
      <c r="F36" s="51" t="n">
        <f aca="false">1-EXP(-D36*$C$6*$C$8)*EXP(-E36*$C$7*$C$9)</f>
        <v>0.814422556707451</v>
      </c>
      <c r="G36" s="51" t="n">
        <v>0.01</v>
      </c>
      <c r="H36" s="130" t="n">
        <f aca="false">10*POWER(B36,-2.05)</f>
        <v>0.000671999634314578</v>
      </c>
      <c r="I36" s="55" t="n">
        <f aca="false">0.0000000016*B36*B36*H36</f>
        <v>1.26575163120957E-008</v>
      </c>
      <c r="J36" s="51" t="n">
        <f aca="false">H36*6.5*C36*F36*G36</f>
        <v>0.680885554560507</v>
      </c>
      <c r="K36" s="59" t="n">
        <f aca="false">'Calculs lentille'!N25</f>
        <v>1.75302490839066E-005</v>
      </c>
      <c r="L36" s="132" t="n">
        <v>0.3</v>
      </c>
      <c r="M36" s="133" t="n">
        <f aca="false">4.29/0.3/SQRT(J36)</f>
        <v>17.3300165415741</v>
      </c>
    </row>
    <row r="37" customFormat="false" ht="12" hidden="false" customHeight="false" outlineLevel="0" collapsed="false">
      <c r="A37" s="1"/>
      <c r="B37" s="50" t="n">
        <f aca="false">B36+6.5</f>
        <v>115</v>
      </c>
      <c r="C37" s="94" t="n">
        <f aca="false">C36-215</f>
        <v>18925</v>
      </c>
      <c r="D37" s="52" t="n">
        <v>0.1671</v>
      </c>
      <c r="E37" s="58" t="n">
        <v>1.165</v>
      </c>
      <c r="F37" s="51" t="n">
        <f aca="false">1-EXP(-D37*$C$6*$C$8)*EXP(-E37*$C$7*$C$9)</f>
        <v>0.765926357126123</v>
      </c>
      <c r="G37" s="51" t="n">
        <v>0.01</v>
      </c>
      <c r="H37" s="130" t="n">
        <f aca="false">10*POWER(B37,-2.05)</f>
        <v>0.000596443661014203</v>
      </c>
      <c r="I37" s="55" t="n">
        <f aca="false">0.0000000016*B37*B37*H37</f>
        <v>1.26207478670605E-008</v>
      </c>
      <c r="J37" s="51" t="n">
        <f aca="false">H37*6.5*C37*F37*G37</f>
        <v>0.561960366219303</v>
      </c>
      <c r="K37" s="59" t="n">
        <f aca="false">'Calculs lentille'!N26</f>
        <v>1.708769424841E-005</v>
      </c>
      <c r="L37" s="132" t="n">
        <v>0.3</v>
      </c>
      <c r="M37" s="133" t="n">
        <f aca="false">4.29/0.3/SQRT(J37)</f>
        <v>19.0758190456982</v>
      </c>
    </row>
    <row r="38" customFormat="false" ht="12" hidden="false" customHeight="false" outlineLevel="0" collapsed="false">
      <c r="A38" s="1"/>
      <c r="B38" s="50" t="n">
        <f aca="false">B37+6.5</f>
        <v>121.5</v>
      </c>
      <c r="C38" s="94" t="n">
        <f aca="false">C37-215</f>
        <v>18710</v>
      </c>
      <c r="D38" s="52" t="n">
        <v>0.1617</v>
      </c>
      <c r="E38" s="58" t="n">
        <v>1.014</v>
      </c>
      <c r="F38" s="51" t="n">
        <f aca="false">1-EXP(-D38*$C$6*$C$8)*EXP(-E38*$C$7*$C$9)</f>
        <v>0.717658091226614</v>
      </c>
      <c r="G38" s="51" t="n">
        <v>0.01</v>
      </c>
      <c r="H38" s="130" t="n">
        <f aca="false">10*POWER(B38,-2.05)</f>
        <v>0.000532866760309612</v>
      </c>
      <c r="I38" s="55" t="n">
        <f aca="false">0.0000000016*B38*B38*H38</f>
        <v>1.25860997318089E-008</v>
      </c>
      <c r="J38" s="51" t="n">
        <f aca="false">H38*6.5*C38*F38*G38</f>
        <v>0.46507539119291</v>
      </c>
      <c r="K38" s="59" t="n">
        <f aca="false">'Calculs lentille'!N27</f>
        <v>1.66923248253947E-005</v>
      </c>
      <c r="L38" s="132" t="n">
        <v>0.3</v>
      </c>
      <c r="M38" s="133" t="n">
        <f aca="false">4.29/0.3/SQRT(J38)</f>
        <v>20.9688376613725</v>
      </c>
    </row>
    <row r="39" customFormat="false" ht="12" hidden="false" customHeight="false" outlineLevel="0" collapsed="false">
      <c r="A39" s="1"/>
      <c r="B39" s="50" t="n">
        <f aca="false">B38+6.5</f>
        <v>128</v>
      </c>
      <c r="C39" s="94" t="n">
        <f aca="false">C38-215</f>
        <v>18495</v>
      </c>
      <c r="D39" s="52" t="n">
        <v>0.157</v>
      </c>
      <c r="E39" s="58" t="n">
        <v>0.89</v>
      </c>
      <c r="F39" s="51" t="n">
        <f aca="false">1-EXP(-D39*$C$6*$C$8)*EXP(-E39*$C$7*$C$9)</f>
        <v>0.67066012278047</v>
      </c>
      <c r="G39" s="51" t="n">
        <v>0.01</v>
      </c>
      <c r="H39" s="130" t="n">
        <f aca="false">10*POWER(B39,-2.05)</f>
        <v>0.000478872130063935</v>
      </c>
      <c r="I39" s="55" t="n">
        <f aca="false">0.0000000016*B39*B39*H39</f>
        <v>1.2553345566348E-008</v>
      </c>
      <c r="J39" s="51" t="n">
        <f aca="false">H39*6.5*C39*F39*G39</f>
        <v>0.386091053814149</v>
      </c>
      <c r="K39" s="59" t="n">
        <f aca="false">'Calculs lentille'!N28</f>
        <v>1.63442245402022E-005</v>
      </c>
      <c r="L39" s="132" t="n">
        <v>0.3</v>
      </c>
      <c r="M39" s="133" t="n">
        <f aca="false">4.29/0.3/SQRT(J39)</f>
        <v>23.0139501558047</v>
      </c>
    </row>
    <row r="40" customFormat="false" ht="12" hidden="false" customHeight="false" outlineLevel="0" collapsed="false">
      <c r="A40" s="1"/>
      <c r="B40" s="50" t="n">
        <f aca="false">B39+6.5</f>
        <v>134.5</v>
      </c>
      <c r="C40" s="94" t="n">
        <f aca="false">C39-215</f>
        <v>18280</v>
      </c>
      <c r="D40" s="52" t="n">
        <v>0.1529</v>
      </c>
      <c r="E40" s="58" t="n">
        <v>0.788</v>
      </c>
      <c r="F40" s="51" t="n">
        <f aca="false">1-EXP(-D40*$C$6*$C$8)*EXP(-E40*$C$7*$C$9)</f>
        <v>0.626187333960913</v>
      </c>
      <c r="G40" s="51" t="n">
        <v>0.01</v>
      </c>
      <c r="H40" s="130" t="n">
        <f aca="false">10*POWER(B40,-2.05)</f>
        <v>0.000432632675253901</v>
      </c>
      <c r="I40" s="55" t="n">
        <f aca="false">0.0000000016*B40*B40*H40</f>
        <v>1.2522293205619E-008</v>
      </c>
      <c r="J40" s="51" t="n">
        <f aca="false">H40*6.5*C40*F40*G40</f>
        <v>0.321894194404222</v>
      </c>
      <c r="K40" s="59" t="n">
        <f aca="false">'Calculs lentille'!N29</f>
        <v>1.60413969670471E-005</v>
      </c>
      <c r="L40" s="132" t="n">
        <v>0.3</v>
      </c>
      <c r="M40" s="133" t="n">
        <f aca="false">4.29/0.3/SQRT(J40)</f>
        <v>25.2045800340604</v>
      </c>
    </row>
    <row r="41" customFormat="false" ht="12" hidden="false" customHeight="false" outlineLevel="0" collapsed="false">
      <c r="A41" s="1"/>
      <c r="B41" s="50" t="n">
        <f aca="false">B40+6.5</f>
        <v>141</v>
      </c>
      <c r="C41" s="94" t="n">
        <f aca="false">C40-215</f>
        <v>18065</v>
      </c>
      <c r="D41" s="52" t="n">
        <v>0.1493</v>
      </c>
      <c r="E41" s="58" t="n">
        <v>0.7031</v>
      </c>
      <c r="F41" s="51" t="n">
        <f aca="false">1-EXP(-D41*$C$6*$C$8)*EXP(-E41*$C$7*$C$9)</f>
        <v>0.584620409122453</v>
      </c>
      <c r="G41" s="51" t="n">
        <v>0.01</v>
      </c>
      <c r="H41" s="130" t="n">
        <f aca="false">10*POWER(B41,-2.05)</f>
        <v>0.000392736096325576</v>
      </c>
      <c r="I41" s="55" t="n">
        <f aca="false">0.0000000016*B41*B41*H41</f>
        <v>1.24927781296781E-008</v>
      </c>
      <c r="J41" s="51" t="n">
        <f aca="false">H41*6.5*C41*F41*G41</f>
        <v>0.269603865149025</v>
      </c>
      <c r="K41" s="59" t="n">
        <f aca="false">'Calculs lentille'!N30</f>
        <v>1.57790394249627E-005</v>
      </c>
      <c r="L41" s="132" t="n">
        <v>0.3</v>
      </c>
      <c r="M41" s="133" t="n">
        <f aca="false">4.29/0.3/SQRT(J41)</f>
        <v>27.5405735453548</v>
      </c>
    </row>
    <row r="42" customFormat="false" ht="12" hidden="false" customHeight="false" outlineLevel="0" collapsed="false">
      <c r="A42" s="1"/>
      <c r="B42" s="50" t="n">
        <f aca="false">B41+6.5</f>
        <v>147.5</v>
      </c>
      <c r="C42" s="94" t="n">
        <f aca="false">C41-215</f>
        <v>17850</v>
      </c>
      <c r="D42" s="52" t="n">
        <v>0.146</v>
      </c>
      <c r="E42" s="58" t="n">
        <v>0.6316</v>
      </c>
      <c r="F42" s="51" t="n">
        <f aca="false">1-EXP(-D42*$C$6*$C$8)*EXP(-E42*$C$7*$C$9)</f>
        <v>0.546043545164443</v>
      </c>
      <c r="G42" s="51" t="n">
        <v>0.01</v>
      </c>
      <c r="H42" s="130" t="n">
        <f aca="false">10*POWER(B42,-2.05)</f>
        <v>0.000358076943974274</v>
      </c>
      <c r="I42" s="55" t="n">
        <f aca="false">0.0000000016*B42*B42*H42</f>
        <v>1.24646584197445E-008</v>
      </c>
      <c r="J42" s="51" t="n">
        <f aca="false">H42*6.5*C42*F42*G42</f>
        <v>0.226858581959042</v>
      </c>
      <c r="K42" s="59" t="n">
        <f aca="false">'Calculs lentille'!N31</f>
        <v>1.55487126664422E-005</v>
      </c>
      <c r="L42" s="132" t="n">
        <v>0.3</v>
      </c>
      <c r="M42" s="133" t="n">
        <f aca="false">4.29/0.3/SQRT(J42)</f>
        <v>30.0233003509027</v>
      </c>
    </row>
    <row r="43" customFormat="false" ht="12" hidden="false" customHeight="false" outlineLevel="0" collapsed="false">
      <c r="A43" s="1"/>
      <c r="B43" s="50" t="n">
        <f aca="false">B42+6.5</f>
        <v>154</v>
      </c>
      <c r="C43" s="94" t="n">
        <f aca="false">C42-215</f>
        <v>17635</v>
      </c>
      <c r="D43" s="52" t="n">
        <v>0.143</v>
      </c>
      <c r="E43" s="58" t="n">
        <v>0.5712</v>
      </c>
      <c r="F43" s="51" t="n">
        <f aca="false">1-EXP(-D43*$C$6*$C$8)*EXP(-E43*$C$7*$C$9)</f>
        <v>0.510672363219357</v>
      </c>
      <c r="G43" s="51" t="n">
        <v>0.01</v>
      </c>
      <c r="H43" s="130" t="n">
        <f aca="false">10*POWER(B43,-2.05)</f>
        <v>0.000327780053878744</v>
      </c>
      <c r="I43" s="55" t="n">
        <f aca="false">0.0000000016*B43*B43*H43</f>
        <v>1.24378108124612E-008</v>
      </c>
      <c r="J43" s="51" t="n">
        <f aca="false">H43*6.5*C43*F43*G43</f>
        <v>0.191872925840119</v>
      </c>
      <c r="K43" s="59" t="n">
        <f aca="false">'Calculs lentille'!N32</f>
        <v>1.53508564063047E-005</v>
      </c>
      <c r="L43" s="132" t="n">
        <v>0.3</v>
      </c>
      <c r="M43" s="133" t="n">
        <f aca="false">4.29/0.3/SQRT(J43)</f>
        <v>32.6459407756542</v>
      </c>
    </row>
    <row r="44" customFormat="false" ht="12" hidden="false" customHeight="false" outlineLevel="0" collapsed="false">
      <c r="A44" s="1"/>
      <c r="B44" s="50" t="n">
        <f aca="false">B43+6.5</f>
        <v>160.5</v>
      </c>
      <c r="C44" s="94" t="n">
        <f aca="false">C43-215</f>
        <v>17420</v>
      </c>
      <c r="D44" s="52" t="n">
        <v>0.1403</v>
      </c>
      <c r="E44" s="58" t="n">
        <v>0.5195</v>
      </c>
      <c r="F44" s="51" t="n">
        <f aca="false">1-EXP(-D44*$C$6*$C$8)*EXP(-E44*$C$7*$C$9)</f>
        <v>0.47821178927017</v>
      </c>
      <c r="G44" s="51" t="n">
        <v>0.01</v>
      </c>
      <c r="H44" s="130" t="n">
        <f aca="false">10*POWER(B44,-2.05)</f>
        <v>0.000301145359073324</v>
      </c>
      <c r="I44" s="55" t="n">
        <f aca="false">0.0000000016*B44*B44*H44</f>
        <v>1.24121275777098E-008</v>
      </c>
      <c r="J44" s="51" t="n">
        <f aca="false">H44*6.5*C44*F44*G44</f>
        <v>0.163063950822218</v>
      </c>
      <c r="K44" s="59" t="n">
        <f aca="false">'Calculs lentille'!N33</f>
        <v>1.51816435544745E-005</v>
      </c>
      <c r="L44" s="132" t="n">
        <v>0.3</v>
      </c>
      <c r="M44" s="133" t="n">
        <f aca="false">4.29/0.3/SQRT(J44)</f>
        <v>35.4125382987276</v>
      </c>
    </row>
    <row r="45" customFormat="false" ht="12" hidden="false" customHeight="false" outlineLevel="0" collapsed="false">
      <c r="A45" s="1"/>
      <c r="B45" s="50" t="n">
        <f aca="false">B44+6.5</f>
        <v>167</v>
      </c>
      <c r="C45" s="94" t="n">
        <f aca="false">C44-215</f>
        <v>17205</v>
      </c>
      <c r="D45" s="52" t="n">
        <v>0.1378</v>
      </c>
      <c r="E45" s="58" t="n">
        <v>0.4752</v>
      </c>
      <c r="F45" s="51" t="n">
        <f aca="false">1-EXP(-D45*$C$6*$C$8)*EXP(-E45*$C$7*$C$9)</f>
        <v>0.448685030134783</v>
      </c>
      <c r="G45" s="51" t="n">
        <v>0.01</v>
      </c>
      <c r="H45" s="130" t="n">
        <f aca="false">10*POWER(B45,-2.05)</f>
        <v>0.000277607524969468</v>
      </c>
      <c r="I45" s="55" t="n">
        <f aca="false">0.0000000016*B45*B45*H45</f>
        <v>1.23875140221976E-008</v>
      </c>
      <c r="J45" s="51" t="n">
        <f aca="false">H45*6.5*C45*F45*G45</f>
        <v>0.139296706370673</v>
      </c>
      <c r="K45" s="59" t="n">
        <f aca="false">'Calculs lentille'!N34</f>
        <v>1.50244873111721E-005</v>
      </c>
      <c r="L45" s="132" t="n">
        <v>0.3</v>
      </c>
      <c r="M45" s="133" t="n">
        <f aca="false">4.29/0.3/SQRT(J45)</f>
        <v>38.3147162460493</v>
      </c>
    </row>
    <row r="46" customFormat="false" ht="12" hidden="false" customHeight="false" outlineLevel="0" collapsed="false">
      <c r="A46" s="1"/>
      <c r="B46" s="50" t="n">
        <f aca="false">B45+6.5</f>
        <v>173.5</v>
      </c>
      <c r="C46" s="94" t="n">
        <f aca="false">C45-215</f>
        <v>16990</v>
      </c>
      <c r="D46" s="52" t="n">
        <v>0.1355</v>
      </c>
      <c r="E46" s="58" t="n">
        <v>0.4369</v>
      </c>
      <c r="F46" s="51" t="n">
        <f aca="false">1-EXP(-D46*$C$6*$C$8)*EXP(-E46*$C$7*$C$9)</f>
        <v>0.421810436762788</v>
      </c>
      <c r="G46" s="51" t="n">
        <v>0.01</v>
      </c>
      <c r="H46" s="130" t="n">
        <f aca="false">10*POWER(B46,-2.05)</f>
        <v>0.000256706028500365</v>
      </c>
      <c r="I46" s="55" t="n">
        <f aca="false">0.0000000016*B46*B46*H46</f>
        <v>1.23638864742802E-008</v>
      </c>
      <c r="J46" s="51" t="n">
        <f aca="false">H46*6.5*C46*F46*G46</f>
        <v>0.119580433778224</v>
      </c>
      <c r="K46" s="59" t="n">
        <f aca="false">'Calculs lentille'!N35</f>
        <v>1.48732885598353E-005</v>
      </c>
      <c r="L46" s="132" t="n">
        <v>0.3</v>
      </c>
      <c r="M46" s="133" t="n">
        <f aca="false">4.29/0.3/SQRT(J46)</f>
        <v>41.352900382723</v>
      </c>
    </row>
    <row r="47" customFormat="false" ht="12" hidden="false" customHeight="false" outlineLevel="0" collapsed="false">
      <c r="A47" s="1"/>
      <c r="B47" s="50" t="n">
        <f aca="false">B46+6.5</f>
        <v>180</v>
      </c>
      <c r="C47" s="94" t="n">
        <f aca="false">C46-215</f>
        <v>16775</v>
      </c>
      <c r="D47" s="52" t="n">
        <v>0.1334</v>
      </c>
      <c r="E47" s="58" t="n">
        <v>0.4035</v>
      </c>
      <c r="F47" s="51" t="n">
        <f aca="false">1-EXP(-D47*$C$6*$C$8)*EXP(-E47*$C$7*$C$9)</f>
        <v>0.397304388548208</v>
      </c>
      <c r="G47" s="51" t="n">
        <v>0.01</v>
      </c>
      <c r="H47" s="130" t="n">
        <f aca="false">10*POWER(B47,-2.05)</f>
        <v>0.000238062705303895</v>
      </c>
      <c r="I47" s="55" t="n">
        <f aca="false">0.0000000016*B47*B47*H47</f>
        <v>1.23411706429539E-008</v>
      </c>
      <c r="J47" s="51" t="n">
        <f aca="false">H47*6.5*C47*F47*G47</f>
        <v>0.103131328507004</v>
      </c>
      <c r="K47" s="59" t="n">
        <f aca="false">'Calculs lentille'!N36</f>
        <v>1.47212666149599E-005</v>
      </c>
      <c r="L47" s="132" t="n">
        <v>0.3</v>
      </c>
      <c r="M47" s="133" t="n">
        <f aca="false">4.29/0.3/SQRT(J47)</f>
        <v>44.5287733207996</v>
      </c>
    </row>
    <row r="48" customFormat="false" ht="12" hidden="false" customHeight="false" outlineLevel="0" collapsed="false">
      <c r="A48" s="1"/>
      <c r="B48" s="50" t="n">
        <f aca="false">B47+6.5</f>
        <v>186.5</v>
      </c>
      <c r="C48" s="94" t="n">
        <f aca="false">C47-215</f>
        <v>16560</v>
      </c>
      <c r="D48" s="52" t="n">
        <v>0.1314</v>
      </c>
      <c r="E48" s="58" t="n">
        <v>0.3744</v>
      </c>
      <c r="F48" s="51" t="n">
        <f aca="false">1-EXP(-D48*$C$6*$C$8)*EXP(-E48*$C$7*$C$9)</f>
        <v>0.375103348175797</v>
      </c>
      <c r="G48" s="51" t="n">
        <v>0.01</v>
      </c>
      <c r="H48" s="130" t="n">
        <f aca="false">10*POWER(B48,-2.05)</f>
        <v>0.000221364709563283</v>
      </c>
      <c r="I48" s="55" t="n">
        <f aca="false">0.0000000016*B48*B48*H48</f>
        <v>1.2319300270732E-008</v>
      </c>
      <c r="J48" s="51" t="n">
        <f aca="false">H48*6.5*C48*F48*G48</f>
        <v>0.0893784905057517</v>
      </c>
      <c r="K48" s="59" t="n">
        <f aca="false">'Calculs lentille'!N37</f>
        <v>1.45623875122641E-005</v>
      </c>
      <c r="L48" s="132" t="n">
        <v>0.3</v>
      </c>
      <c r="M48" s="133" t="n">
        <f aca="false">4.29/0.3/SQRT(J48)</f>
        <v>47.8321089493493</v>
      </c>
    </row>
    <row r="49" customFormat="false" ht="12" hidden="false" customHeight="false" outlineLevel="0" collapsed="false">
      <c r="A49" s="1"/>
      <c r="B49" s="50" t="n">
        <f aca="false">B48+6.5</f>
        <v>193</v>
      </c>
      <c r="C49" s="94" t="n">
        <f aca="false">C48-215</f>
        <v>16345</v>
      </c>
      <c r="D49" s="52" t="n">
        <v>0.1295</v>
      </c>
      <c r="E49" s="58" t="n">
        <v>0.3488</v>
      </c>
      <c r="F49" s="51" t="n">
        <f aca="false">1-EXP(-D49*$C$6*$C$8)*EXP(-E49*$C$7*$C$9)</f>
        <v>0.354893268059988</v>
      </c>
      <c r="G49" s="51" t="n">
        <v>0.01</v>
      </c>
      <c r="H49" s="130" t="n">
        <f aca="false">10*POWER(B49,-2.05)</f>
        <v>0.000206351446003664</v>
      </c>
      <c r="I49" s="55" t="n">
        <f aca="false">0.0000000016*B49*B49*H49</f>
        <v>1.22982160195048E-008</v>
      </c>
      <c r="J49" s="51" t="n">
        <f aca="false">H49*6.5*C49*F49*G49</f>
        <v>0.0778042927757881</v>
      </c>
      <c r="K49" s="59" t="n">
        <f aca="false">'Calculs lentille'!N38</f>
        <v>1.43947979579981E-005</v>
      </c>
      <c r="L49" s="132" t="n">
        <v>0.3</v>
      </c>
      <c r="M49" s="133" t="n">
        <f aca="false">4.29/0.3/SQRT(J49)</f>
        <v>51.2665695158656</v>
      </c>
    </row>
    <row r="50" customFormat="false" ht="12" hidden="false" customHeight="false" outlineLevel="0" collapsed="false">
      <c r="A50" s="1"/>
      <c r="B50" s="50" t="n">
        <f aca="false">B49+6.5</f>
        <v>199.5</v>
      </c>
      <c r="C50" s="94" t="n">
        <f aca="false">C49-215</f>
        <v>16130</v>
      </c>
      <c r="D50" s="52" t="n">
        <v>0.1277</v>
      </c>
      <c r="E50" s="58" t="n">
        <v>0.3262</v>
      </c>
      <c r="F50" s="51" t="n">
        <f aca="false">1-EXP(-D50*$C$6*$C$8)*EXP(-E50*$C$7*$C$9)</f>
        <v>0.336505357601617</v>
      </c>
      <c r="G50" s="51" t="n">
        <v>0.01</v>
      </c>
      <c r="H50" s="130" t="n">
        <f aca="false">10*POWER(B50,-2.05)</f>
        <v>0.000192804450705479</v>
      </c>
      <c r="I50" s="55" t="n">
        <f aca="false">0.0000000016*B50*B50*H50</f>
        <v>1.22778645427052E-008</v>
      </c>
      <c r="J50" s="51" t="n">
        <f aca="false">H50*6.5*C50*F50*G50</f>
        <v>0.0680231535809429</v>
      </c>
      <c r="K50" s="59" t="n">
        <f aca="false">'Calculs lentille'!N39</f>
        <v>1.42133772155581E-005</v>
      </c>
      <c r="L50" s="132" t="n">
        <v>0.3</v>
      </c>
      <c r="M50" s="133" t="n">
        <f aca="false">4.29/0.3/SQRT(J50)</f>
        <v>54.8286630860824</v>
      </c>
    </row>
    <row r="51" customFormat="false" ht="12" hidden="false" customHeight="false" outlineLevel="0" collapsed="false">
      <c r="A51" s="1"/>
      <c r="B51" s="50" t="n">
        <f aca="false">B50+6.5</f>
        <v>206</v>
      </c>
      <c r="C51" s="94" t="n">
        <f aca="false">C50-215</f>
        <v>15915</v>
      </c>
      <c r="D51" s="52" t="n">
        <v>0.126</v>
      </c>
      <c r="E51" s="58" t="n">
        <v>0.3062</v>
      </c>
      <c r="F51" s="51" t="n">
        <f aca="false">1-EXP(-D51*$C$6*$C$8)*EXP(-E51*$C$7*$C$9)</f>
        <v>0.319792921523739</v>
      </c>
      <c r="G51" s="51" t="n">
        <v>0.01</v>
      </c>
      <c r="H51" s="130" t="n">
        <f aca="false">10*POWER(B51,-2.05)</f>
        <v>0.000180539484571614</v>
      </c>
      <c r="I51" s="55" t="n">
        <f aca="false">0.0000000016*B51*B51*H51</f>
        <v>1.22581977076496E-008</v>
      </c>
      <c r="J51" s="51" t="n">
        <f aca="false">H51*6.5*C51*F51*G51</f>
        <v>0.0597256719384593</v>
      </c>
      <c r="K51" s="59" t="n">
        <f aca="false">'Calculs lentille'!N40</f>
        <v>1.40610409299372E-005</v>
      </c>
      <c r="L51" s="132" t="n">
        <v>0.3</v>
      </c>
      <c r="M51" s="133" t="n">
        <f aca="false">4.29/0.3/SQRT(J51)</f>
        <v>58.5134244045584</v>
      </c>
    </row>
    <row r="52" customFormat="false" ht="12" hidden="false" customHeight="false" outlineLevel="0" collapsed="false">
      <c r="A52" s="1"/>
      <c r="B52" s="50" t="n">
        <f aca="false">B51+6.5</f>
        <v>212.5</v>
      </c>
      <c r="C52" s="94" t="n">
        <f aca="false">C51-215</f>
        <v>15700</v>
      </c>
      <c r="D52" s="52" t="n">
        <v>0.1244</v>
      </c>
      <c r="E52" s="58" t="n">
        <v>0.2883</v>
      </c>
      <c r="F52" s="51" t="n">
        <f aca="false">1-EXP(-D52*$C$6*$C$8)*EXP(-E52*$C$7*$C$9)</f>
        <v>0.304476166462879</v>
      </c>
      <c r="G52" s="51" t="n">
        <v>0.01</v>
      </c>
      <c r="H52" s="130" t="n">
        <f aca="false">10*POWER(B52,-2.05)</f>
        <v>0.00016940030366556</v>
      </c>
      <c r="I52" s="55" t="n">
        <f aca="false">0.0000000016*B52*B52*H52</f>
        <v>1.22391719398367E-008</v>
      </c>
      <c r="J52" s="51" t="n">
        <f aca="false">H52*6.5*C52*F52*G52</f>
        <v>0.0526357113364211</v>
      </c>
      <c r="K52" s="59" t="n">
        <f aca="false">'Calculs lentille'!N41</f>
        <v>1.39054541429063E-005</v>
      </c>
      <c r="L52" s="132" t="n">
        <v>0.3</v>
      </c>
      <c r="M52" s="133" t="n">
        <f aca="false">4.29/0.3/SQRT(J52)</f>
        <v>62.3298080160052</v>
      </c>
    </row>
    <row r="53" customFormat="false" ht="12" hidden="false" customHeight="false" outlineLevel="0" collapsed="false">
      <c r="A53" s="1"/>
      <c r="B53" s="50" t="n">
        <f aca="false">B52+6.5</f>
        <v>219</v>
      </c>
      <c r="C53" s="94" t="n">
        <f aca="false">C52-215</f>
        <v>15485</v>
      </c>
      <c r="D53" s="52" t="n">
        <v>0.1229</v>
      </c>
      <c r="E53" s="58" t="n">
        <v>0.2724</v>
      </c>
      <c r="F53" s="51" t="n">
        <f aca="false">1-EXP(-D53*$C$6*$C$8)*EXP(-E53*$C$7*$C$9)</f>
        <v>0.290579259222535</v>
      </c>
      <c r="G53" s="51" t="n">
        <v>0.01</v>
      </c>
      <c r="H53" s="130" t="n">
        <f aca="false">10*POWER(B53,-2.05)</f>
        <v>0.000159253712221635</v>
      </c>
      <c r="I53" s="55" t="n">
        <f aca="false">0.0000000016*B53*B53*H53</f>
        <v>1.2220747666979E-008</v>
      </c>
      <c r="J53" s="51" t="n">
        <f aca="false">H53*6.5*C53*F53*G53</f>
        <v>0.0465777754886623</v>
      </c>
      <c r="K53" s="59" t="n">
        <f aca="false">'Calculs lentille'!N42</f>
        <v>1.37447663506443E-005</v>
      </c>
      <c r="L53" s="132" t="n">
        <v>0.3</v>
      </c>
      <c r="M53" s="133" t="n">
        <f aca="false">4.29/0.3/SQRT(J53)</f>
        <v>66.2592729080238</v>
      </c>
    </row>
    <row r="54" customFormat="false" ht="12" hidden="false" customHeight="false" outlineLevel="0" collapsed="false">
      <c r="A54" s="1"/>
      <c r="B54" s="50" t="n">
        <f aca="false">B53+6.5</f>
        <v>225.5</v>
      </c>
      <c r="C54" s="94" t="n">
        <f aca="false">C53-215</f>
        <v>15270</v>
      </c>
      <c r="D54" s="52" t="n">
        <v>0.1214</v>
      </c>
      <c r="E54" s="58" t="n">
        <v>0.2581</v>
      </c>
      <c r="F54" s="51" t="n">
        <f aca="false">1-EXP(-D54*$C$6*$C$8)*EXP(-E54*$C$7*$C$9)</f>
        <v>0.277838874879449</v>
      </c>
      <c r="G54" s="51" t="n">
        <v>0.01</v>
      </c>
      <c r="H54" s="130" t="n">
        <f aca="false">10*POWER(B54,-2.05)</f>
        <v>0.000149985605345151</v>
      </c>
      <c r="I54" s="55" t="n">
        <f aca="false">0.0000000016*B54*B54*H54</f>
        <v>1.22028888451236E-008</v>
      </c>
      <c r="J54" s="51" t="n">
        <f aca="false">H54*6.5*C54*F54*G54</f>
        <v>0.0413613766900225</v>
      </c>
      <c r="K54" s="59" t="n">
        <f aca="false">'Calculs lentille'!N43</f>
        <v>1.35792545159589E-005</v>
      </c>
      <c r="L54" s="132" t="n">
        <v>0.3</v>
      </c>
      <c r="M54" s="133" t="n">
        <f aca="false">4.29/0.3/SQRT(J54)</f>
        <v>70.313472201066</v>
      </c>
    </row>
    <row r="55" customFormat="false" ht="12" hidden="false" customHeight="false" outlineLevel="0" collapsed="false">
      <c r="A55" s="1"/>
      <c r="B55" s="50" t="n">
        <f aca="false">B54+6.5</f>
        <v>232</v>
      </c>
      <c r="C55" s="94" t="n">
        <f aca="false">C54-215</f>
        <v>15055</v>
      </c>
      <c r="D55" s="52" t="n">
        <v>0.12</v>
      </c>
      <c r="E55" s="58" t="n">
        <v>0.2452</v>
      </c>
      <c r="F55" s="51" t="n">
        <f aca="false">1-EXP(-D55*$C$6*$C$8)*EXP(-E55*$C$7*$C$9)</f>
        <v>0.266148069293201</v>
      </c>
      <c r="G55" s="51" t="n">
        <v>0.01</v>
      </c>
      <c r="H55" s="130" t="n">
        <f aca="false">10*POWER(B55,-2.05)</f>
        <v>0.000141497781574602</v>
      </c>
      <c r="I55" s="55" t="n">
        <f aca="false">0.0000000016*B55*B55*H55</f>
        <v>1.21855625527542E-008</v>
      </c>
      <c r="J55" s="51" t="n">
        <f aca="false">H55*6.5*C55*F55*G55</f>
        <v>0.0368525095578845</v>
      </c>
      <c r="K55" s="59" t="n">
        <f aca="false">'Calculs lentille'!N44</f>
        <v>1.34097457885018E-005</v>
      </c>
      <c r="L55" s="132" t="n">
        <v>0.3</v>
      </c>
      <c r="M55" s="133" t="n">
        <f aca="false">4.29/0.3/SQRT(J55)</f>
        <v>74.4907768916629</v>
      </c>
    </row>
    <row r="56" customFormat="false" ht="12" hidden="false" customHeight="false" outlineLevel="0" collapsed="false">
      <c r="A56" s="1"/>
      <c r="B56" s="50" t="n">
        <f aca="false">B55+6.5</f>
        <v>238.5</v>
      </c>
      <c r="C56" s="94" t="n">
        <f aca="false">C55-215</f>
        <v>14840</v>
      </c>
      <c r="D56" s="52" t="n">
        <v>0.1187</v>
      </c>
      <c r="E56" s="58" t="n">
        <v>0.2335</v>
      </c>
      <c r="F56" s="51" t="n">
        <f aca="false">1-EXP(-D56*$C$6*$C$8)*EXP(-E56*$C$7*$C$9)</f>
        <v>0.25538018031332</v>
      </c>
      <c r="G56" s="51" t="n">
        <v>0.01</v>
      </c>
      <c r="H56" s="130" t="n">
        <f aca="false">10*POWER(B56,-2.05)</f>
        <v>0.000133705358893937</v>
      </c>
      <c r="I56" s="55" t="n">
        <f aca="false">0.0000000016*B56*B56*H56</f>
        <v>1.21687386415114E-008</v>
      </c>
      <c r="J56" s="51" t="n">
        <f aca="false">H56*6.5*C56*F56*G56</f>
        <v>0.0329369409305137</v>
      </c>
      <c r="K56" s="59" t="n">
        <f aca="false">'Calculs lentille'!N45</f>
        <v>1.32370372732121E-005</v>
      </c>
      <c r="L56" s="132" t="n">
        <v>0.3</v>
      </c>
      <c r="M56" s="133" t="n">
        <f aca="false">4.29/0.3/SQRT(J56)</f>
        <v>78.7942283980241</v>
      </c>
    </row>
    <row r="57" customFormat="false" ht="12" hidden="false" customHeight="false" outlineLevel="0" collapsed="false">
      <c r="A57" s="1"/>
      <c r="B57" s="50" t="n">
        <f aca="false">B56+6.5</f>
        <v>245</v>
      </c>
      <c r="C57" s="94" t="n">
        <f aca="false">C56-215</f>
        <v>14625</v>
      </c>
      <c r="D57" s="52" t="n">
        <v>0.1174</v>
      </c>
      <c r="E57" s="58" t="n">
        <v>0.2229</v>
      </c>
      <c r="F57" s="51" t="n">
        <f aca="false">1-EXP(-D57*$C$6*$C$8)*EXP(-E57*$C$7*$C$9)</f>
        <v>0.24548415474946</v>
      </c>
      <c r="G57" s="51" t="n">
        <v>0.01</v>
      </c>
      <c r="H57" s="130" t="n">
        <f aca="false">10*POWER(B57,-2.05)</f>
        <v>0.000126534667162896</v>
      </c>
      <c r="I57" s="55" t="n">
        <f aca="false">0.0000000016*B57*B57*H57</f>
        <v>1.21523894343245E-008</v>
      </c>
      <c r="J57" s="51" t="n">
        <f aca="false">H57*6.5*C57*F57*G57</f>
        <v>0.0295285569341228</v>
      </c>
      <c r="K57" s="59" t="n">
        <f aca="false">'Calculs lentille'!N46</f>
        <v>1.30621824889724E-005</v>
      </c>
      <c r="L57" s="132" t="n">
        <v>0.3</v>
      </c>
      <c r="M57" s="133" t="n">
        <f aca="false">4.29/0.3/SQRT(J57)</f>
        <v>83.217550024027</v>
      </c>
    </row>
    <row r="58" customFormat="false" ht="12" hidden="false" customHeight="false" outlineLevel="0" collapsed="false">
      <c r="A58" s="1"/>
      <c r="B58" s="50" t="n">
        <f aca="false">B57+6.5</f>
        <v>251.5</v>
      </c>
      <c r="C58" s="94" t="n">
        <f aca="false">C57-215</f>
        <v>14410</v>
      </c>
      <c r="D58" s="52" t="n">
        <v>0.1161</v>
      </c>
      <c r="E58" s="58" t="n">
        <v>0.2133</v>
      </c>
      <c r="F58" s="51" t="n">
        <f aca="false">1-EXP(-D58*$C$6*$C$8)*EXP(-E58*$C$7*$C$9)</f>
        <v>0.236404056896339</v>
      </c>
      <c r="G58" s="51" t="n">
        <v>0.01</v>
      </c>
      <c r="H58" s="130" t="n">
        <f aca="false">10*POWER(B58,-2.05)</f>
        <v>0.000119921519229023</v>
      </c>
      <c r="I58" s="55" t="n">
        <f aca="false">0.0000000016*B58*B58*H58</f>
        <v>1.21364894634463E-008</v>
      </c>
      <c r="J58" s="51" t="n">
        <f aca="false">H58*6.5*C58*F58*G58</f>
        <v>0.0265539653578746</v>
      </c>
      <c r="K58" s="59" t="n">
        <f aca="false">'Calculs lentille'!N47</f>
        <v>1.28912008534355E-005</v>
      </c>
      <c r="L58" s="132" t="n">
        <v>0.3</v>
      </c>
      <c r="M58" s="133" t="n">
        <f aca="false">4.29/0.3/SQRT(J58)</f>
        <v>87.7548938636078</v>
      </c>
    </row>
    <row r="59" customFormat="false" ht="12" hidden="false" customHeight="false" outlineLevel="0" collapsed="false">
      <c r="A59" s="1"/>
      <c r="B59" s="50" t="n">
        <f aca="false">B58+6.5</f>
        <v>258</v>
      </c>
      <c r="C59" s="94" t="n">
        <f aca="false">C58-215</f>
        <v>14195</v>
      </c>
      <c r="D59" s="52" t="n">
        <v>0.115</v>
      </c>
      <c r="E59" s="58" t="n">
        <v>0.2046</v>
      </c>
      <c r="F59" s="51" t="n">
        <f aca="false">1-EXP(-D59*$C$6*$C$8)*EXP(-E59*$C$7*$C$9)</f>
        <v>0.22808358072015</v>
      </c>
      <c r="G59" s="51" t="n">
        <v>0.01</v>
      </c>
      <c r="H59" s="130" t="n">
        <f aca="false">10*POWER(B59,-2.05)</f>
        <v>0.000113809784964767</v>
      </c>
      <c r="I59" s="55" t="n">
        <f aca="false">0.0000000016*B59*B59*H59</f>
        <v>1.21210152422316E-008</v>
      </c>
      <c r="J59" s="51" t="n">
        <f aca="false">H59*6.5*C59*F59*G59</f>
        <v>0.0239509298469567</v>
      </c>
      <c r="K59" s="59" t="n">
        <f aca="false">'Calculs lentille'!N48</f>
        <v>1.27375972675726E-005</v>
      </c>
      <c r="L59" s="132" t="n">
        <v>0.3</v>
      </c>
      <c r="M59" s="133" t="n">
        <f aca="false">4.29/0.3/SQRT(J59)</f>
        <v>92.4006120877042</v>
      </c>
    </row>
    <row r="60" customFormat="false" ht="12" hidden="false" customHeight="false" outlineLevel="0" collapsed="false">
      <c r="A60" s="1"/>
      <c r="B60" s="50" t="n">
        <f aca="false">B59+6.5</f>
        <v>264.5</v>
      </c>
      <c r="C60" s="94" t="n">
        <f aca="false">C59-215</f>
        <v>13980</v>
      </c>
      <c r="D60" s="52" t="n">
        <v>0.1138</v>
      </c>
      <c r="E60" s="58" t="n">
        <v>0.1966</v>
      </c>
      <c r="F60" s="51" t="n">
        <f aca="false">1-EXP(-D60*$C$6*$C$8)*EXP(-E60*$C$7*$C$9)</f>
        <v>0.220345962999862</v>
      </c>
      <c r="G60" s="51" t="n">
        <v>0.01</v>
      </c>
      <c r="H60" s="130" t="n">
        <f aca="false">10*POWER(B60,-2.05)</f>
        <v>0.000108150209097156</v>
      </c>
      <c r="I60" s="55" t="n">
        <f aca="false">0.0000000016*B60*B60*H60</f>
        <v>1.21059450655828E-008</v>
      </c>
      <c r="J60" s="51" t="n">
        <f aca="false">H60*6.5*C60*F60*G60</f>
        <v>0.0216547407940919</v>
      </c>
      <c r="K60" s="59" t="n">
        <f aca="false">'Calculs lentille'!N49</f>
        <v>1.25848424410607E-005</v>
      </c>
      <c r="L60" s="132" t="n">
        <v>0.3</v>
      </c>
      <c r="M60" s="133" t="n">
        <f aca="false">4.29/0.3/SQRT(J60)</f>
        <v>97.1761172875111</v>
      </c>
    </row>
    <row r="61" customFormat="false" ht="12" hidden="false" customHeight="false" outlineLevel="0" collapsed="false">
      <c r="A61" s="1"/>
      <c r="B61" s="50" t="n">
        <f aca="false">B60+6.5</f>
        <v>271</v>
      </c>
      <c r="C61" s="94" t="n">
        <f aca="false">C60-215</f>
        <v>13765</v>
      </c>
      <c r="D61" s="52" t="n">
        <v>0.1127</v>
      </c>
      <c r="E61" s="58" t="n">
        <v>0.1892</v>
      </c>
      <c r="F61" s="51" t="n">
        <f aca="false">1-EXP(-D61*$C$6*$C$8)*EXP(-E61*$C$7*$C$9)</f>
        <v>0.213119984298353</v>
      </c>
      <c r="G61" s="51" t="n">
        <v>0.01</v>
      </c>
      <c r="H61" s="130" t="n">
        <f aca="false">10*POWER(B61,-2.05)</f>
        <v>0.000102899426366505</v>
      </c>
      <c r="I61" s="55" t="n">
        <f aca="false">0.0000000016*B61*B61*H61</f>
        <v>1.2091258834852E-008</v>
      </c>
      <c r="J61" s="51" t="n">
        <f aca="false">H61*6.5*C61*F61*G61</f>
        <v>0.0196212513685913</v>
      </c>
      <c r="K61" s="59" t="n">
        <f aca="false">'Calculs lentille'!N50</f>
        <v>1.2433029338339E-005</v>
      </c>
      <c r="L61" s="132" t="n">
        <v>0.3</v>
      </c>
      <c r="M61" s="133" t="n">
        <f aca="false">4.29/0.3/SQRT(J61)</f>
        <v>102.087527756948</v>
      </c>
    </row>
    <row r="62" customFormat="false" ht="12" hidden="false" customHeight="false" outlineLevel="0" collapsed="false">
      <c r="A62" s="1"/>
      <c r="B62" s="50" t="n">
        <f aca="false">B61+6.5</f>
        <v>277.5</v>
      </c>
      <c r="C62" s="94" t="n">
        <f aca="false">C61-215</f>
        <v>13550</v>
      </c>
      <c r="D62" s="52" t="n">
        <v>0.1116</v>
      </c>
      <c r="E62" s="58" t="n">
        <v>0.1825</v>
      </c>
      <c r="F62" s="51" t="n">
        <f aca="false">1-EXP(-D62*$C$6*$C$8)*EXP(-E62*$C$7*$C$9)</f>
        <v>0.206516076928196</v>
      </c>
      <c r="G62" s="51" t="n">
        <v>0.01</v>
      </c>
      <c r="H62" s="130" t="n">
        <f aca="false">10*POWER(B62,-2.05)</f>
        <v>9.8019137275338E-005</v>
      </c>
      <c r="I62" s="55" t="n">
        <f aca="false">0.0000000016*B62*B62*H62</f>
        <v>1.20769379036944E-008</v>
      </c>
      <c r="J62" s="51" t="n">
        <f aca="false">H62*6.5*C62*F62*G62</f>
        <v>0.0178286062664809</v>
      </c>
      <c r="K62" s="59" t="n">
        <f aca="false">'Calculs lentille'!N51</f>
        <v>1.22830041307283E-005</v>
      </c>
      <c r="L62" s="132" t="n">
        <v>0.3</v>
      </c>
      <c r="M62" s="133" t="n">
        <f aca="false">4.29/0.3/SQRT(J62)</f>
        <v>107.097008614484</v>
      </c>
    </row>
    <row r="63" customFormat="false" ht="12" hidden="false" customHeight="false" outlineLevel="0" collapsed="false">
      <c r="A63" s="1"/>
      <c r="B63" s="50" t="n">
        <f aca="false">B62+6.5</f>
        <v>284</v>
      </c>
      <c r="C63" s="94" t="n">
        <f aca="false">C62-215</f>
        <v>13335</v>
      </c>
      <c r="D63" s="52" t="n">
        <v>0.1106</v>
      </c>
      <c r="E63" s="58" t="n">
        <v>0.1762</v>
      </c>
      <c r="F63" s="51" t="n">
        <f aca="false">1-EXP(-D63*$C$6*$C$8)*EXP(-E63*$C$7*$C$9)</f>
        <v>0.200257117621358</v>
      </c>
      <c r="G63" s="51" t="n">
        <v>0.01</v>
      </c>
      <c r="H63" s="130" t="n">
        <f aca="false">10*POWER(B63,-2.05)</f>
        <v>9.34754152042223E-005</v>
      </c>
      <c r="I63" s="55" t="n">
        <f aca="false">0.0000000016*B63*B63*H63</f>
        <v>1.20629649419388E-008</v>
      </c>
      <c r="J63" s="51" t="n">
        <f aca="false">H63*6.5*C63*F63*G63</f>
        <v>0.0162252628259881</v>
      </c>
      <c r="K63" s="59" t="n">
        <f aca="false">'Calculs lentille'!N52</f>
        <v>1.21347272812867E-005</v>
      </c>
      <c r="L63" s="132" t="n">
        <v>0.3</v>
      </c>
      <c r="M63" s="133" t="n">
        <f aca="false">4.29/0.3/SQRT(J63)</f>
        <v>112.263910824755</v>
      </c>
    </row>
    <row r="64" customFormat="false" ht="12" hidden="false" customHeight="false" outlineLevel="0" collapsed="false">
      <c r="A64" s="1"/>
      <c r="B64" s="50" t="n">
        <f aca="false">B63+6.5</f>
        <v>290.5</v>
      </c>
      <c r="C64" s="94" t="n">
        <f aca="false">C63-215</f>
        <v>13120</v>
      </c>
      <c r="D64" s="52" t="n">
        <v>0.1096</v>
      </c>
      <c r="E64" s="58" t="n">
        <v>0.1705</v>
      </c>
      <c r="F64" s="51" t="n">
        <f aca="false">1-EXP(-D64*$C$6*$C$8)*EXP(-E64*$C$7*$C$9)</f>
        <v>0.194548267041723</v>
      </c>
      <c r="G64" s="51" t="n">
        <v>0.01</v>
      </c>
      <c r="H64" s="130" t="n">
        <f aca="false">10*POWER(B64,-2.05)</f>
        <v>8.92381215173659E-005</v>
      </c>
      <c r="I64" s="55" t="n">
        <f aca="false">0.0000000016*B64*B64*H64</f>
        <v>1.20493238150094E-008</v>
      </c>
      <c r="J64" s="51" t="n">
        <f aca="false">H64*6.5*C64*F64*G64</f>
        <v>0.0148055647522796</v>
      </c>
      <c r="K64" s="59" t="n">
        <f aca="false">'Calculs lentille'!N53</f>
        <v>1.19888480937288E-005</v>
      </c>
      <c r="L64" s="132" t="n">
        <v>0.3</v>
      </c>
      <c r="M64" s="133" t="n">
        <f aca="false">4.29/0.3/SQRT(J64)</f>
        <v>117.523183830682</v>
      </c>
    </row>
    <row r="65" customFormat="false" ht="12" hidden="false" customHeight="false" outlineLevel="0" collapsed="false">
      <c r="A65" s="1"/>
      <c r="B65" s="50" t="n">
        <f aca="false">B64+6.5</f>
        <v>297</v>
      </c>
      <c r="C65" s="94" t="n">
        <f aca="false">C64-215</f>
        <v>12905</v>
      </c>
      <c r="D65" s="52" t="n">
        <v>0.1086</v>
      </c>
      <c r="E65" s="58" t="n">
        <v>0.1651</v>
      </c>
      <c r="F65" s="51" t="n">
        <f aca="false">1-EXP(-D65*$C$6*$C$8)*EXP(-E65*$C$7*$C$9)</f>
        <v>0.189100375420968</v>
      </c>
      <c r="G65" s="51" t="n">
        <v>0.01</v>
      </c>
      <c r="H65" s="130" t="n">
        <f aca="false">10*POWER(B65,-2.05)</f>
        <v>8.528040985626E-005</v>
      </c>
      <c r="I65" s="55" t="n">
        <f aca="false">0.0000000016*B65*B65*H65</f>
        <v>1.20359994768173E-008</v>
      </c>
      <c r="J65" s="51" t="n">
        <f aca="false">H65*6.5*C65*F65*G65</f>
        <v>0.0135273596116073</v>
      </c>
      <c r="K65" s="59" t="n">
        <f aca="false">'Calculs lentille'!N54</f>
        <v>1.18453366115652E-005</v>
      </c>
      <c r="L65" s="132" t="n">
        <v>0.3</v>
      </c>
      <c r="M65" s="133" t="n">
        <f aca="false">4.29/0.3/SQRT(J65)</f>
        <v>122.95027932479</v>
      </c>
    </row>
    <row r="66" customFormat="false" ht="12" hidden="false" customHeight="false" outlineLevel="0" collapsed="false">
      <c r="A66" s="1"/>
      <c r="B66" s="50" t="n">
        <f aca="false">B65+6.5</f>
        <v>303.5</v>
      </c>
      <c r="C66" s="94" t="n">
        <f aca="false">C65-215</f>
        <v>12690</v>
      </c>
      <c r="D66" s="52" t="n">
        <v>0.1077</v>
      </c>
      <c r="E66" s="58" t="n">
        <v>0.1602</v>
      </c>
      <c r="F66" s="51" t="n">
        <f aca="false">1-EXP(-D66*$C$6*$C$8)*EXP(-E66*$C$7*$C$9)</f>
        <v>0.184125308378863</v>
      </c>
      <c r="G66" s="51" t="n">
        <v>0.01</v>
      </c>
      <c r="H66" s="130" t="n">
        <f aca="false">10*POWER(B66,-2.05)</f>
        <v>8.15783044217677E-005</v>
      </c>
      <c r="I66" s="55" t="n">
        <f aca="false">0.0000000016*B66*B66*H66</f>
        <v>1.20229778743584E-008</v>
      </c>
      <c r="J66" s="51" t="n">
        <f aca="false">H66*6.5*C66*F66*G66</f>
        <v>0.0123897670338444</v>
      </c>
      <c r="K66" s="59" t="n">
        <f aca="false">'Calculs lentille'!N55</f>
        <v>1.17102019960314E-005</v>
      </c>
      <c r="L66" s="132" t="n">
        <v>0.3</v>
      </c>
      <c r="M66" s="133" t="n">
        <f aca="false">4.29/0.3/SQRT(J66)</f>
        <v>128.470811465284</v>
      </c>
    </row>
    <row r="67" customFormat="false" ht="12" hidden="false" customHeight="false" outlineLevel="0" collapsed="false">
      <c r="A67" s="1"/>
      <c r="B67" s="50" t="n">
        <f aca="false">B66+6.5</f>
        <v>310</v>
      </c>
      <c r="C67" s="94" t="n">
        <f aca="false">C66-215</f>
        <v>12475</v>
      </c>
      <c r="D67" s="52" t="n">
        <v>0.1067</v>
      </c>
      <c r="E67" s="58" t="n">
        <v>0.1556</v>
      </c>
      <c r="F67" s="51" t="n">
        <f aca="false">1-EXP(-D67*$C$6*$C$8)*EXP(-E67*$C$7*$C$9)</f>
        <v>0.179421336164511</v>
      </c>
      <c r="G67" s="51" t="n">
        <v>0.01</v>
      </c>
      <c r="H67" s="130" t="n">
        <f aca="false">10*POWER(B67,-2.05)</f>
        <v>7.81103398966991E-005</v>
      </c>
      <c r="I67" s="55" t="n">
        <f aca="false">0.0000000016*B67*B67*H67</f>
        <v>1.20102458625165E-008</v>
      </c>
      <c r="J67" s="51" t="n">
        <f aca="false">H67*6.5*C67*F67*G67</f>
        <v>0.0113641386864077</v>
      </c>
      <c r="K67" s="59" t="n">
        <f aca="false">'Calculs lentille'!N56</f>
        <v>1.15825230192911E-005</v>
      </c>
      <c r="L67" s="132" t="n">
        <v>0.3</v>
      </c>
      <c r="M67" s="133" t="n">
        <f aca="false">4.29/0.3/SQRT(J67)</f>
        <v>134.142925909677</v>
      </c>
    </row>
    <row r="68" customFormat="false" ht="12" hidden="false" customHeight="false" outlineLevel="0" collapsed="false">
      <c r="A68" s="1"/>
      <c r="B68" s="50" t="n">
        <f aca="false">B67+6.5</f>
        <v>316.5</v>
      </c>
      <c r="C68" s="94" t="n">
        <f aca="false">C67-215</f>
        <v>12260</v>
      </c>
      <c r="D68" s="52" t="n">
        <v>0.1058</v>
      </c>
      <c r="E68" s="58" t="n">
        <v>0.1513</v>
      </c>
      <c r="F68" s="51" t="n">
        <f aca="false">1-EXP(-D68*$C$6*$C$8)*EXP(-E68*$C$7*$C$9)</f>
        <v>0.175000913565343</v>
      </c>
      <c r="G68" s="51" t="n">
        <v>0.01</v>
      </c>
      <c r="H68" s="130" t="n">
        <f aca="false">10*POWER(B68,-2.05)</f>
        <v>7.48572529305291E-005</v>
      </c>
      <c r="I68" s="55" t="n">
        <f aca="false">0.0000000016*B68*B68*H68</f>
        <v>1.19977911277923E-008</v>
      </c>
      <c r="J68" s="51" t="n">
        <f aca="false">H68*6.5*C68*F68*G68</f>
        <v>0.0104394598481532</v>
      </c>
      <c r="K68" s="59" t="n">
        <f aca="false">'Calculs lentille'!N57</f>
        <v>1.14575134540638E-005</v>
      </c>
      <c r="L68" s="132" t="n">
        <v>0.3</v>
      </c>
      <c r="M68" s="133" t="n">
        <f aca="false">4.29/0.3/SQRT(J68)</f>
        <v>139.957772979904</v>
      </c>
    </row>
    <row r="69" customFormat="false" ht="12" hidden="false" customHeight="false" outlineLevel="0" collapsed="false">
      <c r="A69" s="1"/>
      <c r="B69" s="50" t="n">
        <f aca="false">B68+6.5</f>
        <v>323</v>
      </c>
      <c r="C69" s="94" t="n">
        <f aca="false">C68-215</f>
        <v>12045</v>
      </c>
      <c r="D69" s="52" t="n">
        <v>0.105</v>
      </c>
      <c r="E69" s="58" t="n">
        <v>0.1473</v>
      </c>
      <c r="F69" s="51" t="n">
        <f aca="false">1-EXP(-D69*$C$6*$C$8)*EXP(-E69*$C$7*$C$9)</f>
        <v>0.170868904966616</v>
      </c>
      <c r="G69" s="51" t="n">
        <v>0.01</v>
      </c>
      <c r="H69" s="130" t="n">
        <f aca="false">10*POWER(B69,-2.05)</f>
        <v>7.18017169235023E-005</v>
      </c>
      <c r="I69" s="55" t="n">
        <f aca="false">0.0000000016*B69*B69*H69</f>
        <v>1.19856021198593E-008</v>
      </c>
      <c r="J69" s="51" t="n">
        <f aca="false">H69*6.5*C69*F69*G69</f>
        <v>0.00960545687262499</v>
      </c>
      <c r="K69" s="59" t="n">
        <f aca="false">'Calculs lentille'!N58</f>
        <v>1.13352201445858E-005</v>
      </c>
      <c r="L69" s="132" t="n">
        <v>0.3</v>
      </c>
      <c r="M69" s="133" t="n">
        <f aca="false">4.29/0.3/SQRT(J69)</f>
        <v>145.907301109328</v>
      </c>
    </row>
    <row r="70" customFormat="false" ht="12" hidden="false" customHeight="false" outlineLevel="0" collapsed="false">
      <c r="A70" s="1"/>
      <c r="B70" s="50" t="n">
        <f aca="false">B69+6.5</f>
        <v>329.5</v>
      </c>
      <c r="C70" s="94" t="n">
        <f aca="false">C69-215</f>
        <v>11830</v>
      </c>
      <c r="D70" s="52" t="n">
        <v>0.1041</v>
      </c>
      <c r="E70" s="58" t="n">
        <v>0.1436</v>
      </c>
      <c r="F70" s="51" t="n">
        <f aca="false">1-EXP(-D70*$C$6*$C$8)*EXP(-E70*$C$7*$C$9)</f>
        <v>0.167022376732303</v>
      </c>
      <c r="G70" s="51" t="n">
        <v>0.01</v>
      </c>
      <c r="H70" s="130" t="n">
        <f aca="false">10*POWER(B70,-2.05)</f>
        <v>6.89281133068445E-005</v>
      </c>
      <c r="I70" s="55" t="n">
        <f aca="false">0.0000000016*B70*B70*H70</f>
        <v>1.19736679900039E-008</v>
      </c>
      <c r="J70" s="51" t="n">
        <f aca="false">H70*6.5*C70*F70*G70</f>
        <v>0.00885256556312707</v>
      </c>
      <c r="K70" s="59" t="n">
        <f aca="false">'Calculs lentille'!N59</f>
        <v>1.12158112200431E-005</v>
      </c>
      <c r="L70" s="132" t="n">
        <v>0.3</v>
      </c>
      <c r="M70" s="133" t="n">
        <f aca="false">4.29/0.3/SQRT(J70)</f>
        <v>151.98525676628</v>
      </c>
    </row>
    <row r="71" customFormat="false" ht="12" hidden="false" customHeight="false" outlineLevel="0" collapsed="false">
      <c r="A71" s="1"/>
      <c r="B71" s="50" t="n">
        <f aca="false">B70+6.5</f>
        <v>336</v>
      </c>
      <c r="C71" s="94" t="n">
        <f aca="false">C70-215</f>
        <v>11615</v>
      </c>
      <c r="D71" s="52" t="n">
        <v>0.1033</v>
      </c>
      <c r="E71" s="58" t="n">
        <v>0.1401</v>
      </c>
      <c r="F71" s="51" t="n">
        <f aca="false">1-EXP(-D71*$C$6*$C$8)*EXP(-E71*$C$7*$C$9)</f>
        <v>0.163369279505695</v>
      </c>
      <c r="G71" s="51" t="n">
        <v>0.01</v>
      </c>
      <c r="H71" s="130" t="n">
        <f aca="false">10*POWER(B71,-2.05)</f>
        <v>6.62223336944888E-005</v>
      </c>
      <c r="I71" s="55" t="n">
        <f aca="false">0.0000000016*B71*B71*H71</f>
        <v>1.19619785356368E-008</v>
      </c>
      <c r="J71" s="51" t="n">
        <f aca="false">H71*6.5*C71*F71*G71</f>
        <v>0.00816784421448144</v>
      </c>
      <c r="K71" s="59" t="n">
        <f aca="false">'Calculs lentille'!N60</f>
        <v>1.10990625977156E-005</v>
      </c>
      <c r="L71" s="132" t="n">
        <v>0.3</v>
      </c>
      <c r="M71" s="133" t="n">
        <f aca="false">4.29/0.3/SQRT(J71)</f>
        <v>158.227626887063</v>
      </c>
    </row>
    <row r="72" customFormat="false" ht="12" hidden="false" customHeight="false" outlineLevel="0" collapsed="false">
      <c r="A72" s="1"/>
      <c r="B72" s="50" t="n">
        <f aca="false">B71+6.5</f>
        <v>342.5</v>
      </c>
      <c r="C72" s="94" t="n">
        <f aca="false">C71-215</f>
        <v>11400</v>
      </c>
      <c r="D72" s="52" t="n">
        <v>0.1025</v>
      </c>
      <c r="E72" s="58" t="n">
        <v>0.1368</v>
      </c>
      <c r="F72" s="51" t="n">
        <f aca="false">1-EXP(-D72*$C$6*$C$8)*EXP(-E72*$C$7*$C$9)</f>
        <v>0.159908529818514</v>
      </c>
      <c r="G72" s="51" t="n">
        <v>0.01</v>
      </c>
      <c r="H72" s="130" t="n">
        <f aca="false">10*POWER(B72,-2.05)</f>
        <v>6.36716082379014E-005</v>
      </c>
      <c r="I72" s="55" t="n">
        <f aca="false">0.0000000016*B72*B72*H72</f>
        <v>1.19505241501717E-008</v>
      </c>
      <c r="J72" s="51" t="n">
        <f aca="false">H72*6.5*C72*F72*G72</f>
        <v>0.00754459024899685</v>
      </c>
      <c r="K72" s="59" t="n">
        <f aca="false">'Calculs lentille'!N61</f>
        <v>1.09852476628982E-005</v>
      </c>
      <c r="L72" s="132" t="n">
        <v>0.3</v>
      </c>
      <c r="M72" s="133" t="n">
        <f aca="false">4.29/0.3/SQRT(J72)</f>
        <v>164.633499006671</v>
      </c>
    </row>
    <row r="73" customFormat="false" ht="12" hidden="false" customHeight="false" outlineLevel="0" collapsed="false">
      <c r="A73" s="1"/>
      <c r="B73" s="50" t="n">
        <f aca="false">B72+6.5</f>
        <v>349</v>
      </c>
      <c r="C73" s="94" t="n">
        <f aca="false">C72-215</f>
        <v>11185</v>
      </c>
      <c r="D73" s="52" t="n">
        <v>0.1017</v>
      </c>
      <c r="E73" s="58" t="n">
        <v>0.1337</v>
      </c>
      <c r="F73" s="51" t="n">
        <f aca="false">1-EXP(-D73*$C$6*$C$8)*EXP(-E73*$C$7*$C$9)</f>
        <v>0.156642643191315</v>
      </c>
      <c r="G73" s="51" t="n">
        <v>0.01</v>
      </c>
      <c r="H73" s="130" t="n">
        <f aca="false">10*POWER(B73,-2.05)</f>
        <v>6.12643562945959E-005</v>
      </c>
      <c r="I73" s="55" t="n">
        <f aca="false">0.0000000016*B73*B73*H73</f>
        <v>1.19392957776609E-008</v>
      </c>
      <c r="J73" s="51" t="n">
        <f aca="false">H73*6.5*C73*F73*G73</f>
        <v>0.00697697589663938</v>
      </c>
      <c r="K73" s="59" t="n">
        <f aca="false">'Calculs lentille'!N62</f>
        <v>1.08740327765772E-005</v>
      </c>
      <c r="L73" s="132" t="n">
        <v>0.3</v>
      </c>
      <c r="M73" s="133" t="n">
        <f aca="false">4.29/0.3/SQRT(J73)</f>
        <v>171.199474060352</v>
      </c>
    </row>
    <row r="74" customFormat="false" ht="12" hidden="false" customHeight="false" outlineLevel="0" collapsed="false">
      <c r="A74" s="1"/>
      <c r="B74" s="50" t="n">
        <f aca="false">B73+6.5</f>
        <v>355.5</v>
      </c>
      <c r="C74" s="94" t="n">
        <f aca="false">C73-215</f>
        <v>10970</v>
      </c>
      <c r="D74" s="52" t="n">
        <v>0.1009</v>
      </c>
      <c r="E74" s="58" t="n">
        <v>0.1308</v>
      </c>
      <c r="F74" s="51" t="n">
        <f aca="false">1-EXP(-D74*$C$6*$C$8)*EXP(-E74*$C$7*$C$9)</f>
        <v>0.153573999988644</v>
      </c>
      <c r="G74" s="51" t="n">
        <v>0.01</v>
      </c>
      <c r="H74" s="130" t="n">
        <f aca="false">10*POWER(B74,-2.05)</f>
        <v>5.89900561581871E-005</v>
      </c>
      <c r="I74" s="55" t="n">
        <f aca="false">0.0000000016*B74*B74*H74</f>
        <v>1.19282848716572E-008</v>
      </c>
      <c r="J74" s="51" t="n">
        <f aca="false">H74*6.5*C74*F74*G74</f>
        <v>0.00645976159107043</v>
      </c>
      <c r="K74" s="59" t="n">
        <f aca="false">'Calculs lentille'!N63</f>
        <v>1.076907957662E-005</v>
      </c>
      <c r="L74" s="132" t="n">
        <v>0.3</v>
      </c>
      <c r="M74" s="133" t="n">
        <f aca="false">4.29/0.3/SQRT(J74)</f>
        <v>177.921238299308</v>
      </c>
    </row>
    <row r="75" customFormat="false" ht="12" hidden="false" customHeight="false" outlineLevel="0" collapsed="false">
      <c r="A75" s="1"/>
      <c r="B75" s="50" t="n">
        <f aca="false">B74+6.5</f>
        <v>362</v>
      </c>
      <c r="C75" s="94" t="n">
        <f aca="false">C74-215</f>
        <v>10755</v>
      </c>
      <c r="D75" s="52" t="n">
        <v>0.1002</v>
      </c>
      <c r="E75" s="58" t="n">
        <v>0.1281</v>
      </c>
      <c r="F75" s="51" t="n">
        <f aca="false">1-EXP(-D75*$C$6*$C$8)*EXP(-E75*$C$7*$C$9)</f>
        <v>0.150708664347794</v>
      </c>
      <c r="G75" s="51" t="n">
        <v>0.01</v>
      </c>
      <c r="H75" s="130" t="n">
        <f aca="false">10*POWER(B75,-2.05)</f>
        <v>5.68391311212189E-005</v>
      </c>
      <c r="I75" s="55" t="n">
        <f aca="false">0.0000000016*B75*B75*H75</f>
        <v>1.19174833578384E-008</v>
      </c>
      <c r="J75" s="51" t="n">
        <f aca="false">H75*6.5*C75*F75*G75</f>
        <v>0.00598838098545869</v>
      </c>
      <c r="K75" s="59" t="n">
        <f aca="false">'Calculs lentille'!N64</f>
        <v>1.06673248925297E-005</v>
      </c>
      <c r="L75" s="132" t="n">
        <v>0.3</v>
      </c>
      <c r="M75" s="133" t="n">
        <f aca="false">4.29/0.3/SQRT(J75)</f>
        <v>184.791217195013</v>
      </c>
    </row>
    <row r="76" customFormat="false" ht="12" hidden="false" customHeight="false" outlineLevel="0" collapsed="false">
      <c r="A76" s="1"/>
      <c r="B76" s="50" t="n">
        <f aca="false">B75+6.5</f>
        <v>368.5</v>
      </c>
      <c r="C76" s="94" t="n">
        <f aca="false">C75-215</f>
        <v>10540</v>
      </c>
      <c r="D76" s="52" t="n">
        <v>0.09946</v>
      </c>
      <c r="E76" s="58" t="n">
        <v>0.1255</v>
      </c>
      <c r="F76" s="51" t="n">
        <f aca="false">1-EXP(-D76*$C$6*$C$8)*EXP(-E76*$C$7*$C$9)</f>
        <v>0.147937757292342</v>
      </c>
      <c r="G76" s="51" t="n">
        <v>0.01</v>
      </c>
      <c r="H76" s="130" t="n">
        <f aca="false">10*POWER(B76,-2.05)</f>
        <v>5.48028495734783E-005</v>
      </c>
      <c r="I76" s="55" t="n">
        <f aca="false">0.0000000016*B76*B76*H76</f>
        <v>1.19068835999906E-008</v>
      </c>
      <c r="J76" s="51" t="n">
        <f aca="false">H76*6.5*C76*F76*G76</f>
        <v>0.00555438704256994</v>
      </c>
      <c r="K76" s="59" t="n">
        <f aca="false">'Calculs lentille'!N65</f>
        <v>1.05679360480287E-005</v>
      </c>
      <c r="L76" s="132" t="n">
        <v>0.3</v>
      </c>
      <c r="M76" s="133" t="n">
        <f aca="false">4.29/0.3/SQRT(J76)</f>
        <v>191.874812269531</v>
      </c>
    </row>
    <row r="77" customFormat="false" ht="12" hidden="false" customHeight="false" outlineLevel="0" collapsed="false">
      <c r="A77" s="1"/>
      <c r="B77" s="50" t="n">
        <f aca="false">B76+6.5</f>
        <v>375</v>
      </c>
      <c r="C77" s="94" t="n">
        <f aca="false">C76-215</f>
        <v>10325</v>
      </c>
      <c r="D77" s="52" t="n">
        <v>0.09875</v>
      </c>
      <c r="E77" s="58" t="n">
        <v>0.123</v>
      </c>
      <c r="F77" s="51" t="n">
        <f aca="false">1-EXP(-D77*$C$6*$C$8)*EXP(-E77*$C$7*$C$9)</f>
        <v>0.145264957598609</v>
      </c>
      <c r="G77" s="51" t="n">
        <v>0.01</v>
      </c>
      <c r="H77" s="130" t="n">
        <f aca="false">10*POWER(B77,-2.05)</f>
        <v>5.28732371955262E-005</v>
      </c>
      <c r="I77" s="55" t="n">
        <f aca="false">0.0000000016*B77*B77*H77</f>
        <v>1.18964783689934E-008</v>
      </c>
      <c r="J77" s="51" t="n">
        <f aca="false">H77*6.5*C77*F77*G77</f>
        <v>0.00515466184186645</v>
      </c>
      <c r="K77" s="59" t="n">
        <f aca="false">'Calculs lentille'!N66</f>
        <v>1.04711195760398E-005</v>
      </c>
      <c r="L77" s="132" t="n">
        <v>0.3</v>
      </c>
      <c r="M77" s="133" t="n">
        <f aca="false">4.29/0.3/SQRT(J77)</f>
        <v>199.175514444769</v>
      </c>
    </row>
    <row r="78" customFormat="false" ht="12" hidden="false" customHeight="false" outlineLevel="0" collapsed="false">
      <c r="A78" s="1"/>
      <c r="B78" s="50" t="n">
        <f aca="false">B77+6.5</f>
        <v>381.5</v>
      </c>
      <c r="C78" s="94" t="n">
        <f aca="false">C77-215</f>
        <v>10110</v>
      </c>
      <c r="D78" s="52" t="n">
        <v>0.09805</v>
      </c>
      <c r="E78" s="58" t="n">
        <v>0.1207</v>
      </c>
      <c r="F78" s="51" t="n">
        <f aca="false">1-EXP(-D78*$C$6*$C$8)*EXP(-E78*$C$7*$C$9)</f>
        <v>0.14279677230786</v>
      </c>
      <c r="G78" s="51" t="n">
        <v>0.01</v>
      </c>
      <c r="H78" s="130" t="n">
        <f aca="false">10*POWER(B78,-2.05)</f>
        <v>5.10429996036203E-005</v>
      </c>
      <c r="I78" s="55" t="n">
        <f aca="false">0.0000000016*B78*B78*H78</f>
        <v>1.1886260814496E-008</v>
      </c>
      <c r="J78" s="51" t="n">
        <f aca="false">H78*6.5*C78*F78*G78</f>
        <v>0.00478981888048543</v>
      </c>
      <c r="K78" s="59" t="n">
        <f aca="false">'Calculs lentille'!N67</f>
        <v>1.037658468712E-005</v>
      </c>
      <c r="L78" s="132" t="n">
        <v>0.3</v>
      </c>
      <c r="M78" s="133" t="n">
        <f aca="false">4.29/0.3/SQRT(J78)</f>
        <v>206.62196702872</v>
      </c>
    </row>
    <row r="79" customFormat="false" ht="12" hidden="false" customHeight="false" outlineLevel="0" collapsed="false">
      <c r="A79" s="1"/>
      <c r="B79" s="50" t="n">
        <f aca="false">B78+6.5</f>
        <v>388</v>
      </c>
      <c r="C79" s="94" t="n">
        <f aca="false">C78-215</f>
        <v>9895</v>
      </c>
      <c r="D79" s="52" t="n">
        <v>0.09736</v>
      </c>
      <c r="E79" s="58" t="n">
        <v>0.1185</v>
      </c>
      <c r="F79" s="51" t="n">
        <f aca="false">1-EXP(-D79*$C$6*$C$8)*EXP(-E79*$C$7*$C$9)</f>
        <v>0.14042844007135</v>
      </c>
      <c r="G79" s="51" t="n">
        <v>0.01</v>
      </c>
      <c r="H79" s="130" t="n">
        <f aca="false">10*POWER(B79,-2.05)</f>
        <v>4.93054540491889E-005</v>
      </c>
      <c r="I79" s="55" t="n">
        <f aca="false">0.0000000016*B79*B79*H79</f>
        <v>1.18762244390097E-008</v>
      </c>
      <c r="J79" s="51" t="n">
        <f aca="false">H79*6.5*C79*F79*G79</f>
        <v>0.00445327166384507</v>
      </c>
      <c r="K79" s="59" t="n">
        <f aca="false">'Calculs lentille'!N68</f>
        <v>1.02844294424651E-005</v>
      </c>
      <c r="L79" s="132" t="n">
        <v>0.3</v>
      </c>
      <c r="M79" s="133" t="n">
        <f aca="false">4.29/0.3/SQRT(J79)</f>
        <v>214.287304938585</v>
      </c>
    </row>
    <row r="80" customFormat="false" ht="12" hidden="false" customHeight="false" outlineLevel="0" collapsed="false">
      <c r="A80" s="1"/>
      <c r="B80" s="50" t="n">
        <f aca="false">B79+6.5</f>
        <v>394.5</v>
      </c>
      <c r="C80" s="94" t="n">
        <f aca="false">C79-215</f>
        <v>9680</v>
      </c>
      <c r="D80" s="52" t="n">
        <v>0.09669</v>
      </c>
      <c r="E80" s="58" t="n">
        <v>0.1164</v>
      </c>
      <c r="F80" s="51" t="n">
        <f aca="false">1-EXP(-D80*$C$6*$C$8)*EXP(-E80*$C$7*$C$9)</f>
        <v>0.138161214852083</v>
      </c>
      <c r="G80" s="51" t="n">
        <v>0.01</v>
      </c>
      <c r="H80" s="130" t="n">
        <f aca="false">10*POWER(B80,-2.05)</f>
        <v>4.76544689824633E-005</v>
      </c>
      <c r="I80" s="55" t="n">
        <f aca="false">0.0000000016*B80*B80*H80</f>
        <v>1.18663630741728E-008</v>
      </c>
      <c r="J80" s="51" t="n">
        <f aca="false">H80*6.5*C80*F80*G80</f>
        <v>0.00414265237701906</v>
      </c>
      <c r="K80" s="59" t="n">
        <f aca="false">'Calculs lentille'!N69</f>
        <v>1.01945599969883E-005</v>
      </c>
      <c r="L80" s="132" t="n">
        <v>0.3</v>
      </c>
      <c r="M80" s="133" t="n">
        <f aca="false">4.29/0.3/SQRT(J80)</f>
        <v>222.175819915235</v>
      </c>
    </row>
    <row r="81" customFormat="false" ht="12" hidden="false" customHeight="false" outlineLevel="0" collapsed="false">
      <c r="A81" s="1"/>
      <c r="B81" s="50" t="n">
        <f aca="false">B80+6.5</f>
        <v>401</v>
      </c>
      <c r="C81" s="94" t="n">
        <f aca="false">C80-215</f>
        <v>9465</v>
      </c>
      <c r="D81" s="52" t="n">
        <v>0.09604</v>
      </c>
      <c r="E81" s="58" t="n">
        <v>0.1144</v>
      </c>
      <c r="F81" s="51" t="n">
        <f aca="false">1-EXP(-D81*$C$6*$C$8)*EXP(-E81*$C$7*$C$9)</f>
        <v>0.135995930396553</v>
      </c>
      <c r="G81" s="51" t="n">
        <v>0.01</v>
      </c>
      <c r="H81" s="130" t="n">
        <f aca="false">10*POWER(B81,-2.05)</f>
        <v>4.60844104629857E-005</v>
      </c>
      <c r="I81" s="55" t="n">
        <f aca="false">0.0000000016*B81*B81*H81</f>
        <v>1.18566708589737E-008</v>
      </c>
      <c r="J81" s="51" t="n">
        <f aca="false">H81*6.5*C81*F81*G81</f>
        <v>0.00385579489154207</v>
      </c>
      <c r="K81" s="59" t="n">
        <f aca="false">'Calculs lentille'!N70</f>
        <v>9.73182192224883E-006</v>
      </c>
      <c r="L81" s="132" t="n">
        <v>0.3</v>
      </c>
      <c r="M81" s="133" t="n">
        <f aca="false">4.29/0.3/SQRT(J81)</f>
        <v>230.292118872104</v>
      </c>
    </row>
    <row r="82" customFormat="false" ht="12" hidden="false" customHeight="false" outlineLevel="0" collapsed="false">
      <c r="A82" s="1"/>
      <c r="B82" s="50" t="n">
        <f aca="false">B81+6.5</f>
        <v>407.5</v>
      </c>
      <c r="C82" s="94" t="n">
        <f aca="false">C81-215</f>
        <v>9250</v>
      </c>
      <c r="D82" s="52" t="n">
        <v>0.0954</v>
      </c>
      <c r="E82" s="58" t="n">
        <v>0.1125</v>
      </c>
      <c r="F82" s="51" t="n">
        <f aca="false">1-EXP(-D82*$C$6*$C$8)*EXP(-E82*$C$7*$C$9)</f>
        <v>0.133932994624455</v>
      </c>
      <c r="G82" s="51" t="n">
        <v>0.01</v>
      </c>
      <c r="H82" s="130" t="n">
        <f aca="false">10*POWER(B82,-2.05)</f>
        <v>4.45900945453053E-005</v>
      </c>
      <c r="I82" s="55" t="n">
        <f aca="false">0.0000000016*B82*B82*H82</f>
        <v>1.18471422197422E-008</v>
      </c>
      <c r="J82" s="51" t="n">
        <f aca="false">H82*6.5*C82*F82*G82</f>
        <v>0.00359071604194047</v>
      </c>
      <c r="K82" s="59" t="n">
        <f aca="false">'Calculs lentille'!N71</f>
        <v>9.66165877353126E-006</v>
      </c>
      <c r="L82" s="132" t="n">
        <v>0.3</v>
      </c>
      <c r="M82" s="133" t="n">
        <f aca="false">4.29/0.3/SQRT(J82)</f>
        <v>238.641245215981</v>
      </c>
    </row>
    <row r="83" customFormat="false" ht="12" hidden="false" customHeight="false" outlineLevel="0" collapsed="false">
      <c r="A83" s="1"/>
      <c r="B83" s="50" t="n">
        <f aca="false">B82+6.5</f>
        <v>414</v>
      </c>
      <c r="C83" s="94" t="n">
        <f aca="false">C82-215</f>
        <v>9035</v>
      </c>
      <c r="D83" s="52" t="n">
        <v>0.09477</v>
      </c>
      <c r="E83" s="58" t="n">
        <v>0.1107</v>
      </c>
      <c r="F83" s="51" t="n">
        <f aca="false">1-EXP(-D83*$C$6*$C$8)*EXP(-E83*$C$7*$C$9)</f>
        <v>0.131973165953913</v>
      </c>
      <c r="G83" s="51" t="n">
        <v>0.01</v>
      </c>
      <c r="H83" s="130" t="n">
        <f aca="false">10*POWER(B83,-2.05)</f>
        <v>4.31667448909943E-005</v>
      </c>
      <c r="I83" s="55" t="n">
        <f aca="false">0.0000000016*B83*B83*H83</f>
        <v>1.1837771851739E-008</v>
      </c>
      <c r="J83" s="51" t="n">
        <f aca="false">H83*6.5*C83*F83*G83</f>
        <v>0.00334561875077666</v>
      </c>
      <c r="K83" s="59" t="n">
        <f aca="false">'Calculs lentille'!N72</f>
        <v>9.5930999098756E-006</v>
      </c>
      <c r="L83" s="132" t="n">
        <v>0.3</v>
      </c>
      <c r="M83" s="133" t="n">
        <f aca="false">4.29/0.3/SQRT(J83)</f>
        <v>247.228089456279</v>
      </c>
    </row>
    <row r="84" customFormat="false" ht="12" hidden="false" customHeight="false" outlineLevel="0" collapsed="false">
      <c r="A84" s="1"/>
      <c r="B84" s="50" t="n">
        <f aca="false">B83+6.5</f>
        <v>420.5</v>
      </c>
      <c r="C84" s="94" t="n">
        <f aca="false">C83-215</f>
        <v>8820</v>
      </c>
      <c r="D84" s="52" t="n">
        <v>0.09415</v>
      </c>
      <c r="E84" s="58" t="n">
        <v>0.109</v>
      </c>
      <c r="F84" s="51" t="n">
        <f aca="false">1-EXP(-D84*$C$6*$C$8)*EXP(-E84*$C$7*$C$9)</f>
        <v>0.130117166029555</v>
      </c>
      <c r="G84" s="51" t="n">
        <v>0.01</v>
      </c>
      <c r="H84" s="130" t="n">
        <f aca="false">10*POWER(B84,-2.05)</f>
        <v>4.18099549620076E-005</v>
      </c>
      <c r="I84" s="55" t="n">
        <f aca="false">0.0000000016*B84*B84*H84</f>
        <v>1.18285547021935E-008</v>
      </c>
      <c r="J84" s="51" t="n">
        <f aca="false">H84*6.5*C84*F84*G84</f>
        <v>0.00311886256175334</v>
      </c>
      <c r="K84" s="59" t="n">
        <f aca="false">'Calculs lentille'!N73</f>
        <v>9.52608431272558E-006</v>
      </c>
      <c r="L84" s="132" t="n">
        <v>0.3</v>
      </c>
      <c r="M84" s="133" t="n">
        <f aca="false">4.29/0.3/SQRT(J84)</f>
        <v>256.057746383152</v>
      </c>
    </row>
    <row r="85" customFormat="false" ht="12" hidden="false" customHeight="false" outlineLevel="0" collapsed="false">
      <c r="A85" s="1"/>
      <c r="B85" s="50" t="n">
        <f aca="false">B84+6.5</f>
        <v>427</v>
      </c>
      <c r="C85" s="94" t="n">
        <f aca="false">C84-215</f>
        <v>8605</v>
      </c>
      <c r="D85" s="52" t="n">
        <v>0.09355</v>
      </c>
      <c r="E85" s="58" t="n">
        <v>0.1073</v>
      </c>
      <c r="F85" s="51" t="n">
        <f aca="false">1-EXP(-D85*$C$6*$C$8)*EXP(-E85*$C$7*$C$9)</f>
        <v>0.128257982206511</v>
      </c>
      <c r="G85" s="51" t="n">
        <v>0.01</v>
      </c>
      <c r="H85" s="130" t="n">
        <f aca="false">10*POWER(B85,-2.05)</f>
        <v>4.05156542385427E-005</v>
      </c>
      <c r="I85" s="55" t="n">
        <f aca="false">0.0000000016*B85*B85*H85</f>
        <v>1.18194859546548E-008</v>
      </c>
      <c r="J85" s="51" t="n">
        <f aca="false">H85*6.5*C85*F85*G85</f>
        <v>0.00290650778599004</v>
      </c>
      <c r="K85" s="59" t="n">
        <f aca="false">'Calculs lentille'!N74</f>
        <v>9.46055418169968E-006</v>
      </c>
      <c r="L85" s="132" t="n">
        <v>0.3</v>
      </c>
      <c r="M85" s="133" t="n">
        <f aca="false">4.29/0.3/SQRT(J85)</f>
        <v>265.246884862624</v>
      </c>
    </row>
    <row r="86" customFormat="false" ht="12" hidden="false" customHeight="false" outlineLevel="0" collapsed="false">
      <c r="A86" s="1"/>
      <c r="B86" s="50" t="n">
        <f aca="false">B85+6.5</f>
        <v>433.5</v>
      </c>
      <c r="C86" s="94" t="n">
        <f aca="false">C85-215</f>
        <v>8390</v>
      </c>
      <c r="D86" s="52" t="n">
        <v>0.09296</v>
      </c>
      <c r="E86" s="58" t="n">
        <v>0.1058</v>
      </c>
      <c r="F86" s="51" t="n">
        <f aca="false">1-EXP(-D86*$C$6*$C$8)*EXP(-E86*$C$7*$C$9)</f>
        <v>0.126611845031025</v>
      </c>
      <c r="G86" s="51" t="n">
        <v>0.01</v>
      </c>
      <c r="H86" s="130" t="n">
        <f aca="false">10*POWER(B86,-2.05)</f>
        <v>3.92800779795124E-005</v>
      </c>
      <c r="I86" s="55" t="n">
        <f aca="false">0.0000000016*B86*B86*H86</f>
        <v>1.18105610145367E-008</v>
      </c>
      <c r="J86" s="51" t="n">
        <f aca="false">H86*6.5*C86*F86*G86</f>
        <v>0.00271220177764308</v>
      </c>
      <c r="K86" s="59" t="n">
        <f aca="false">'Calculs lentille'!N75</f>
        <v>9.39645471895882E-006</v>
      </c>
      <c r="L86" s="132" t="n">
        <v>0.3</v>
      </c>
      <c r="M86" s="133" t="n">
        <f aca="false">4.29/0.3/SQRT(J86)</f>
        <v>274.583881144156</v>
      </c>
    </row>
    <row r="87" customFormat="false" ht="12" hidden="false" customHeight="false" outlineLevel="0" collapsed="false">
      <c r="A87" s="1"/>
      <c r="B87" s="50" t="n">
        <f aca="false">B86+6.5</f>
        <v>440</v>
      </c>
      <c r="C87" s="94" t="n">
        <f aca="false">C86-215</f>
        <v>8175</v>
      </c>
      <c r="D87" s="52" t="n">
        <v>0.09238</v>
      </c>
      <c r="E87" s="58" t="n">
        <v>0.1043</v>
      </c>
      <c r="F87" s="51" t="n">
        <f aca="false">1-EXP(-D87*$C$6*$C$8)*EXP(-E87*$C$7*$C$9)</f>
        <v>0.12496299317099</v>
      </c>
      <c r="G87" s="51" t="n">
        <v>0.01</v>
      </c>
      <c r="H87" s="130" t="n">
        <f aca="false">10*POWER(B87,-2.05)</f>
        <v>3.80997401076585E-005</v>
      </c>
      <c r="I87" s="55" t="n">
        <f aca="false">0.0000000016*B87*B87*H87</f>
        <v>1.18017754957483E-008</v>
      </c>
      <c r="J87" s="51" t="n">
        <f aca="false">H87*6.5*C87*F87*G87</f>
        <v>0.00252990696248059</v>
      </c>
      <c r="K87" s="59" t="n">
        <f aca="false">'Calculs lentille'!N76</f>
        <v>9.33373393100688E-006</v>
      </c>
      <c r="L87" s="132" t="n">
        <v>0.3</v>
      </c>
      <c r="M87" s="133" t="n">
        <f aca="false">4.29/0.3/SQRT(J87)</f>
        <v>284.304518680178</v>
      </c>
    </row>
    <row r="88" customFormat="false" ht="12" hidden="false" customHeight="false" outlineLevel="0" collapsed="false">
      <c r="A88" s="1"/>
      <c r="B88" s="50" t="n">
        <f aca="false">B87+6.5</f>
        <v>446.5</v>
      </c>
      <c r="C88" s="94" t="n">
        <f aca="false">C87-215</f>
        <v>7960</v>
      </c>
      <c r="D88" s="52" t="n">
        <v>0.09181</v>
      </c>
      <c r="E88" s="58" t="n">
        <v>0.1028</v>
      </c>
      <c r="F88" s="51" t="n">
        <f aca="false">1-EXP(-D88*$C$6*$C$8)*EXP(-E88*$C$7*$C$9)</f>
        <v>0.123311422986775</v>
      </c>
      <c r="G88" s="51" t="n">
        <v>0.01</v>
      </c>
      <c r="H88" s="130" t="n">
        <f aca="false">10*POWER(B88,-2.05)</f>
        <v>3.69714088559742E-005</v>
      </c>
      <c r="I88" s="55" t="n">
        <f aca="false">0.0000000016*B88*B88*H88</f>
        <v>1.17931252083151E-008</v>
      </c>
      <c r="J88" s="51" t="n">
        <f aca="false">H88*6.5*C88*F88*G88</f>
        <v>0.00235882506635191</v>
      </c>
      <c r="K88" s="59" t="n">
        <f aca="false">'Calculs lentille'!N77</f>
        <v>9.27234244628058E-006</v>
      </c>
      <c r="L88" s="132" t="n">
        <v>0.3</v>
      </c>
      <c r="M88" s="133" t="n">
        <f aca="false">4.29/0.3/SQRT(J88)</f>
        <v>294.434143250057</v>
      </c>
    </row>
    <row r="89" customFormat="false" ht="12" hidden="false" customHeight="false" outlineLevel="0" collapsed="false">
      <c r="A89" s="1"/>
      <c r="B89" s="50" t="n">
        <f aca="false">B88+6.5</f>
        <v>453</v>
      </c>
      <c r="C89" s="94" t="n">
        <f aca="false">C88-215</f>
        <v>7745</v>
      </c>
      <c r="D89" s="52" t="n">
        <v>0.09125</v>
      </c>
      <c r="E89" s="58" t="n">
        <v>0.1014</v>
      </c>
      <c r="F89" s="51" t="n">
        <f aca="false">1-EXP(-D89*$C$6*$C$8)*EXP(-E89*$C$7*$C$9)</f>
        <v>0.121766038598907</v>
      </c>
      <c r="G89" s="51" t="n">
        <v>0.01</v>
      </c>
      <c r="H89" s="130" t="n">
        <f aca="false">10*POWER(B89,-2.05)</f>
        <v>3.58920848589203E-005</v>
      </c>
      <c r="I89" s="55" t="n">
        <f aca="false">0.0000000016*B89*B89*H89</f>
        <v>1.17846061469027E-008</v>
      </c>
      <c r="J89" s="51" t="n">
        <f aca="false">H89*6.5*C89*F89*G89</f>
        <v>0.00220018724185513</v>
      </c>
      <c r="K89" s="59" t="n">
        <f aca="false">'Calculs lentille'!N78</f>
        <v>9.21223334706124E-006</v>
      </c>
      <c r="L89" s="132" t="n">
        <v>0.3</v>
      </c>
      <c r="M89" s="133" t="n">
        <f aca="false">4.29/0.3/SQRT(J89)</f>
        <v>304.864051184894</v>
      </c>
    </row>
    <row r="90" customFormat="false" ht="12" hidden="false" customHeight="false" outlineLevel="0" collapsed="false">
      <c r="A90" s="1"/>
      <c r="B90" s="50" t="n">
        <f aca="false">B89+6.5</f>
        <v>459.5</v>
      </c>
      <c r="C90" s="94" t="n">
        <f aca="false">C89-215</f>
        <v>7530</v>
      </c>
      <c r="D90" s="52" t="n">
        <v>0.0907</v>
      </c>
      <c r="E90" s="58" t="n">
        <v>0.1001</v>
      </c>
      <c r="F90" s="51" t="n">
        <f aca="false">1-EXP(-D90*$C$6*$C$8)*EXP(-E90*$C$7*$C$9)</f>
        <v>0.120327412147829</v>
      </c>
      <c r="G90" s="51" t="n">
        <v>0.01</v>
      </c>
      <c r="H90" s="130" t="n">
        <f aca="false">10*POWER(B90,-2.05)</f>
        <v>3.48589814121368E-005</v>
      </c>
      <c r="I90" s="55" t="n">
        <f aca="false">0.0000000016*B90*B90*H90</f>
        <v>1.17762144801663E-008</v>
      </c>
      <c r="J90" s="51" t="n">
        <f aca="false">H90*6.5*C90*F90*G90</f>
        <v>0.00205299363141864</v>
      </c>
      <c r="K90" s="59" t="n">
        <f aca="false">'Calculs lentille'!N79</f>
        <v>9.15336201439682E-006</v>
      </c>
      <c r="L90" s="132" t="n">
        <v>0.3</v>
      </c>
      <c r="M90" s="133" t="n">
        <f aca="false">4.29/0.3/SQRT(J90)</f>
        <v>315.603809255633</v>
      </c>
    </row>
    <row r="91" customFormat="false" ht="12" hidden="false" customHeight="false" outlineLevel="0" collapsed="false">
      <c r="A91" s="1"/>
      <c r="B91" s="50" t="n">
        <f aca="false">B90+6.5</f>
        <v>466</v>
      </c>
      <c r="C91" s="94" t="n">
        <f aca="false">C90-215</f>
        <v>7315</v>
      </c>
      <c r="D91" s="52" t="n">
        <v>0.09016</v>
      </c>
      <c r="E91" s="58" t="n">
        <v>0.09884</v>
      </c>
      <c r="F91" s="51" t="n">
        <f aca="false">1-EXP(-D91*$C$6*$C$8)*EXP(-E91*$C$7*$C$9)</f>
        <v>0.118930527727497</v>
      </c>
      <c r="G91" s="51" t="n">
        <v>0.01</v>
      </c>
      <c r="H91" s="130" t="n">
        <f aca="false">10*POWER(B91,-2.05)</f>
        <v>3.3869506658967E-005</v>
      </c>
      <c r="I91" s="55" t="n">
        <f aca="false">0.0000000016*B91*B91*H91</f>
        <v>1.17679465408554E-008</v>
      </c>
      <c r="J91" s="51" t="n">
        <f aca="false">H91*6.5*C91*F91*G91</f>
        <v>0.00191526954908283</v>
      </c>
      <c r="K91" s="59" t="n">
        <f aca="false">'Calculs lentille'!N80</f>
        <v>9.09568598485892E-006</v>
      </c>
      <c r="L91" s="132" t="n">
        <v>0.3</v>
      </c>
      <c r="M91" s="133" t="n">
        <f aca="false">4.29/0.3/SQRT(J91)</f>
        <v>326.754129995251</v>
      </c>
    </row>
    <row r="92" customFormat="false" ht="12" hidden="false" customHeight="false" outlineLevel="0" collapsed="false">
      <c r="A92" s="1"/>
      <c r="B92" s="50" t="n">
        <f aca="false">B91+6.5</f>
        <v>472.5</v>
      </c>
      <c r="C92" s="94" t="n">
        <f aca="false">C91-215</f>
        <v>7100</v>
      </c>
      <c r="D92" s="52" t="n">
        <v>0.08963</v>
      </c>
      <c r="E92" s="58" t="n">
        <v>0.09761</v>
      </c>
      <c r="F92" s="51" t="n">
        <f aca="false">1-EXP(-D92*$C$6*$C$8)*EXP(-E92*$C$7*$C$9)</f>
        <v>0.117564649427709</v>
      </c>
      <c r="G92" s="51" t="n">
        <v>0.01</v>
      </c>
      <c r="H92" s="130" t="n">
        <f aca="false">10*POWER(B92,-2.05)</f>
        <v>3.29212474919817E-005</v>
      </c>
      <c r="I92" s="55" t="n">
        <f aca="false">0.0000000016*B92*B92*H92</f>
        <v>1.17597988166108E-008</v>
      </c>
      <c r="J92" s="51" t="n">
        <f aca="false">H92*6.5*C92*F92*G92</f>
        <v>0.0017861780256343</v>
      </c>
      <c r="K92" s="59" t="n">
        <f aca="false">'Calculs lentille'!N81</f>
        <v>9.03916481808061E-006</v>
      </c>
      <c r="L92" s="132" t="n">
        <v>0.3</v>
      </c>
      <c r="M92" s="133" t="n">
        <f aca="false">4.29/0.3/SQRT(J92)</f>
        <v>338.355831895519</v>
      </c>
    </row>
    <row r="93" customFormat="false" ht="12" hidden="false" customHeight="false" outlineLevel="0" collapsed="false">
      <c r="A93" s="1"/>
      <c r="B93" s="50" t="n">
        <f aca="false">B92+6.5</f>
        <v>479</v>
      </c>
      <c r="C93" s="94" t="n">
        <f aca="false">C92-215</f>
        <v>6885</v>
      </c>
      <c r="D93" s="52" t="n">
        <v>0.08911</v>
      </c>
      <c r="E93" s="58" t="n">
        <v>0.09643</v>
      </c>
      <c r="F93" s="51" t="n">
        <f aca="false">1-EXP(-D93*$C$6*$C$8)*EXP(-E93*$C$7*$C$9)</f>
        <v>0.116251845470138</v>
      </c>
      <c r="G93" s="51" t="n">
        <v>0.01</v>
      </c>
      <c r="H93" s="130" t="n">
        <f aca="false">10*POWER(B93,-2.05)</f>
        <v>3.20119549835134E-005</v>
      </c>
      <c r="I93" s="55" t="n">
        <f aca="false">0.0000000016*B93*B93*H93</f>
        <v>1.17517679413957E-008</v>
      </c>
      <c r="J93" s="51" t="n">
        <f aca="false">H93*6.5*C93*F93*G93</f>
        <v>0.00166544139388444</v>
      </c>
      <c r="K93" s="59" t="n">
        <f aca="false">'Calculs lentille'!N82</f>
        <v>8.98375997412797E-006</v>
      </c>
      <c r="L93" s="132" t="n">
        <v>0.3</v>
      </c>
      <c r="M93" s="133" t="n">
        <f aca="false">4.29/0.3/SQRT(J93)</f>
        <v>350.405859728287</v>
      </c>
    </row>
    <row r="94" customFormat="false" ht="12" hidden="false" customHeight="false" outlineLevel="0" collapsed="false">
      <c r="A94" s="1"/>
      <c r="B94" s="50" t="n">
        <f aca="false">B93+6.5</f>
        <v>485.5</v>
      </c>
      <c r="C94" s="94" t="n">
        <f aca="false">C93-215</f>
        <v>6670</v>
      </c>
      <c r="D94" s="52" t="n">
        <v>0.08859</v>
      </c>
      <c r="E94" s="58" t="n">
        <v>0.0953</v>
      </c>
      <c r="F94" s="51" t="n">
        <f aca="false">1-EXP(-D94*$C$6*$C$8)*EXP(-E94*$C$7*$C$9)</f>
        <v>0.114991960646312</v>
      </c>
      <c r="G94" s="51" t="n">
        <v>0.01</v>
      </c>
      <c r="H94" s="130" t="n">
        <f aca="false">10*POWER(B94,-2.05)</f>
        <v>3.11395311815849E-005</v>
      </c>
      <c r="I94" s="55" t="n">
        <f aca="false">0.0000000016*B94*B94*H94</f>
        <v>1.17438506875107E-008</v>
      </c>
      <c r="J94" s="51" t="n">
        <f aca="false">H94*6.5*C94*F94*G94</f>
        <v>0.00155245399488812</v>
      </c>
      <c r="K94" s="59" t="n">
        <f aca="false">'Calculs lentille'!N83</f>
        <v>8.92943469985284E-006</v>
      </c>
      <c r="L94" s="132" t="n">
        <v>0.3</v>
      </c>
      <c r="M94" s="133" t="n">
        <f aca="false">4.29/0.3/SQRT(J94)</f>
        <v>362.933174860604</v>
      </c>
    </row>
    <row r="95" customFormat="false" ht="12" hidden="false" customHeight="false" outlineLevel="0" collapsed="false">
      <c r="A95" s="1"/>
      <c r="B95" s="50" t="n">
        <f aca="false">B94+6.5</f>
        <v>492</v>
      </c>
      <c r="C95" s="94" t="n">
        <f aca="false">C94-215</f>
        <v>6455</v>
      </c>
      <c r="D95" s="52" t="n">
        <v>0.08809</v>
      </c>
      <c r="E95" s="58" t="n">
        <v>0.09421</v>
      </c>
      <c r="F95" s="51" t="n">
        <f aca="false">1-EXP(-D95*$C$6*$C$8)*EXP(-E95*$C$7*$C$9)</f>
        <v>0.113775035202288</v>
      </c>
      <c r="G95" s="51" t="n">
        <v>0.01</v>
      </c>
      <c r="H95" s="130" t="n">
        <f aca="false">10*POWER(B95,-2.05)</f>
        <v>3.03020171270421E-005</v>
      </c>
      <c r="I95" s="55" t="n">
        <f aca="false">0.0000000016*B95*B95*H95</f>
        <v>1.17360439581445E-008</v>
      </c>
      <c r="J95" s="51" t="n">
        <f aca="false">H95*6.5*C95*F95*G95</f>
        <v>0.00144653225188564</v>
      </c>
      <c r="K95" s="59" t="n">
        <f aca="false">'Calculs lentille'!N84</f>
        <v>8.87615392345872E-006</v>
      </c>
      <c r="L95" s="132" t="n">
        <v>0.3</v>
      </c>
      <c r="M95" s="133" t="n">
        <f aca="false">4.29/0.3/SQRT(J95)</f>
        <v>375.986262160317</v>
      </c>
    </row>
    <row r="96" customFormat="false" ht="12" hidden="false" customHeight="false" outlineLevel="0" collapsed="false">
      <c r="A96" s="1"/>
      <c r="B96" s="50" t="n">
        <f aca="false">B95+6.5</f>
        <v>498.5</v>
      </c>
      <c r="C96" s="94" t="n">
        <f aca="false">C95-215</f>
        <v>6240</v>
      </c>
      <c r="D96" s="52" t="n">
        <v>0.08759</v>
      </c>
      <c r="E96" s="58" t="n">
        <v>0.09315</v>
      </c>
      <c r="F96" s="51" t="n">
        <f aca="false">1-EXP(-D96*$C$6*$C$8)*EXP(-E96*$C$7*$C$9)</f>
        <v>0.112589448718148</v>
      </c>
      <c r="G96" s="51" t="n">
        <v>0.01</v>
      </c>
      <c r="H96" s="130" t="n">
        <f aca="false">10*POWER(B96,-2.05)</f>
        <v>2.9497581964596E-005</v>
      </c>
      <c r="I96" s="55" t="n">
        <f aca="false">0.0000000016*B96*B96*H96</f>
        <v>1.17283447804184E-008</v>
      </c>
      <c r="J96" s="51" t="n">
        <f aca="false">H96*6.5*C96*F96*G96</f>
        <v>0.00134704484911961</v>
      </c>
      <c r="K96" s="59" t="n">
        <f aca="false">'Calculs lentille'!N85</f>
        <v>8.82388415658651E-006</v>
      </c>
      <c r="L96" s="132" t="n">
        <v>0.3</v>
      </c>
      <c r="M96" s="133" t="n">
        <f aca="false">4.29/0.3/SQRT(J96)</f>
        <v>389.623380118865</v>
      </c>
    </row>
    <row r="97" customFormat="false" ht="12" hidden="false" customHeight="false" outlineLevel="0" collapsed="false">
      <c r="A97" s="1"/>
      <c r="B97" s="50" t="n">
        <f aca="false">B96+6.5</f>
        <v>505</v>
      </c>
      <c r="C97" s="94" t="n">
        <f aca="false">C96-215</f>
        <v>6025</v>
      </c>
      <c r="D97" s="52" t="n">
        <v>0.08711</v>
      </c>
      <c r="E97" s="58" t="n">
        <v>0.09213</v>
      </c>
      <c r="F97" s="51" t="n">
        <f aca="false">1-EXP(-D97*$C$6*$C$8)*EXP(-E97*$C$7*$C$9)</f>
        <v>0.111447149215464</v>
      </c>
      <c r="G97" s="51" t="n">
        <v>0.01</v>
      </c>
      <c r="H97" s="130" t="n">
        <f aca="false">10*POWER(B97,-2.05)</f>
        <v>2.87245130352066E-005</v>
      </c>
      <c r="I97" s="55" t="n">
        <f aca="false">0.0000000016*B97*B97*H97</f>
        <v>1.17207502988857E-008</v>
      </c>
      <c r="J97" s="51" t="n">
        <f aca="false">H97*6.5*C97*F97*G97</f>
        <v>0.00125369544101859</v>
      </c>
      <c r="K97" s="59" t="n">
        <f aca="false">'Calculs lentille'!N86</f>
        <v>8.77259340329355E-006</v>
      </c>
      <c r="L97" s="132" t="n">
        <v>0.3</v>
      </c>
      <c r="M97" s="133" t="n">
        <f aca="false">4.29/0.3/SQRT(J97)</f>
        <v>403.868530481711</v>
      </c>
    </row>
    <row r="98" customFormat="false" ht="12" hidden="false" customHeight="false" outlineLevel="0" collapsed="false">
      <c r="A98" s="1"/>
      <c r="B98" s="50" t="n">
        <f aca="false">B97+6.5</f>
        <v>511.5</v>
      </c>
      <c r="C98" s="94" t="n">
        <f aca="false">C97-215</f>
        <v>5810</v>
      </c>
      <c r="D98" s="52" t="n">
        <v>0.08663</v>
      </c>
      <c r="E98" s="58" t="n">
        <v>0.09115</v>
      </c>
      <c r="F98" s="51" t="n">
        <f aca="false">1-EXP(-D98*$C$6*$C$8)*EXP(-E98*$C$7*$C$9)</f>
        <v>0.110347507171148</v>
      </c>
      <c r="G98" s="51" t="n">
        <v>0.01</v>
      </c>
      <c r="H98" s="130" t="n">
        <f aca="false">10*POWER(B98,-2.05)</f>
        <v>2.79812068500983E-005</v>
      </c>
      <c r="I98" s="55" t="n">
        <f aca="false">0.0000000016*B98*B98*H98</f>
        <v>1.17132577694506E-008</v>
      </c>
      <c r="J98" s="51" t="n">
        <f aca="false">H98*6.5*C98*F98*G98</f>
        <v>0.00116605344835313</v>
      </c>
      <c r="K98" s="59" t="n">
        <f aca="false">'Calculs lentille'!N87</f>
        <v>8.72225107535885E-006</v>
      </c>
      <c r="L98" s="132" t="n">
        <v>0.3</v>
      </c>
      <c r="M98" s="133" t="n">
        <f aca="false">4.29/0.3/SQRT(J98)</f>
        <v>418.77120211927</v>
      </c>
    </row>
    <row r="99" customFormat="false" ht="12" hidden="false" customHeight="false" outlineLevel="0" collapsed="false">
      <c r="A99" s="1"/>
      <c r="B99" s="50" t="n">
        <f aca="false">B98+6.5</f>
        <v>518</v>
      </c>
      <c r="C99" s="94" t="n">
        <f aca="false">C98-215</f>
        <v>5595</v>
      </c>
      <c r="D99" s="52" t="n">
        <v>0.08616</v>
      </c>
      <c r="E99" s="58" t="n">
        <v>0.0902</v>
      </c>
      <c r="F99" s="51" t="n">
        <f aca="false">1-EXP(-D99*$C$6*$C$8)*EXP(-E99*$C$7*$C$9)</f>
        <v>0.109280040485949</v>
      </c>
      <c r="G99" s="51" t="n">
        <v>0.01</v>
      </c>
      <c r="H99" s="130" t="n">
        <f aca="false">10*POWER(B99,-2.05)</f>
        <v>2.72661608579441E-005</v>
      </c>
      <c r="I99" s="55" t="n">
        <f aca="false">0.0000000016*B99*B99*H99</f>
        <v>1.17058645536752E-008</v>
      </c>
      <c r="J99" s="51" t="n">
        <f aca="false">H99*6.5*C99*F99*G99</f>
        <v>0.00108362318180492</v>
      </c>
      <c r="K99" s="59" t="n">
        <f aca="false">'Calculs lentille'!N88</f>
        <v>8.67282791340091E-006</v>
      </c>
      <c r="L99" s="132" t="n">
        <v>0.3</v>
      </c>
      <c r="M99" s="133" t="n">
        <f aca="false">4.29/0.3/SQRT(J99)</f>
        <v>434.407079029508</v>
      </c>
    </row>
    <row r="100" customFormat="false" ht="12" hidden="false" customHeight="false" outlineLevel="0" collapsed="false">
      <c r="A100" s="1"/>
      <c r="B100" s="50" t="n">
        <f aca="false">B99+6.5</f>
        <v>524.5</v>
      </c>
      <c r="C100" s="94" t="n">
        <f aca="false">C99-215</f>
        <v>5380</v>
      </c>
      <c r="D100" s="52" t="n">
        <v>0.08569</v>
      </c>
      <c r="E100" s="58" t="n">
        <v>0.08928</v>
      </c>
      <c r="F100" s="51" t="n">
        <f aca="false">1-EXP(-D100*$C$6*$C$8)*EXP(-E100*$C$7*$C$9)</f>
        <v>0.108244466903143</v>
      </c>
      <c r="G100" s="51" t="n">
        <v>0.01</v>
      </c>
      <c r="H100" s="130" t="n">
        <f aca="false">10*POWER(B100,-2.05)</f>
        <v>2.65779659266134E-005</v>
      </c>
      <c r="I100" s="55" t="n">
        <f aca="false">0.0000000016*B100*B100*H100</f>
        <v>1.16985681134445E-008</v>
      </c>
      <c r="J100" s="51" t="n">
        <f aca="false">H100*6.5*C100*F100*G100</f>
        <v>0.00100605813825773</v>
      </c>
      <c r="K100" s="59" t="n">
        <f aca="false">'Calculs lentille'!N89</f>
        <v>8.62429591334162E-006</v>
      </c>
      <c r="L100" s="132" t="n">
        <v>0.3</v>
      </c>
      <c r="M100" s="133" t="n">
        <f aca="false">4.29/0.3/SQRT(J100)</f>
        <v>450.842135465015</v>
      </c>
    </row>
    <row r="101" customFormat="false" ht="12" hidden="false" customHeight="false" outlineLevel="0" collapsed="false">
      <c r="A101" s="1"/>
      <c r="B101" s="50" t="n">
        <f aca="false">B100+6.5</f>
        <v>531</v>
      </c>
      <c r="C101" s="94" t="n">
        <f aca="false">C100-215</f>
        <v>5165</v>
      </c>
      <c r="D101" s="52" t="n">
        <v>0.08523</v>
      </c>
      <c r="E101" s="58" t="n">
        <v>0.08839</v>
      </c>
      <c r="F101" s="51" t="n">
        <f aca="false">1-EXP(-D101*$C$6*$C$8)*EXP(-E101*$C$7*$C$9)</f>
        <v>0.10724130233399</v>
      </c>
      <c r="G101" s="51" t="n">
        <v>0.01</v>
      </c>
      <c r="H101" s="130" t="n">
        <f aca="false">10*POWER(B101,-2.05)</f>
        <v>2.59152994695274E-005</v>
      </c>
      <c r="I101" s="55" t="n">
        <f aca="false">0.0000000016*B101*B101*H101</f>
        <v>1.16913660059639E-008</v>
      </c>
      <c r="J101" s="51" t="n">
        <f aca="false">H101*6.5*C101*F101*G101</f>
        <v>0.000933043719025785</v>
      </c>
      <c r="K101" s="59" t="n">
        <f aca="false">'Calculs lentille'!N90</f>
        <v>8.57662825779291E-006</v>
      </c>
      <c r="L101" s="132" t="n">
        <v>0.3</v>
      </c>
      <c r="M101" s="133" t="n">
        <f aca="false">4.29/0.3/SQRT(J101)</f>
        <v>468.150013910644</v>
      </c>
    </row>
    <row r="102" customFormat="false" ht="12" hidden="false" customHeight="false" outlineLevel="0" collapsed="false">
      <c r="A102" s="1"/>
      <c r="B102" s="50" t="n">
        <f aca="false">B101+6.5</f>
        <v>537.5</v>
      </c>
      <c r="C102" s="94" t="n">
        <f aca="false">C101-215</f>
        <v>4950</v>
      </c>
      <c r="D102" s="52" t="n">
        <v>0.08478</v>
      </c>
      <c r="E102" s="58" t="n">
        <v>0.08753</v>
      </c>
      <c r="F102" s="51" t="n">
        <f aca="false">1-EXP(-D102*$C$6*$C$8)*EXP(-E102*$C$7*$C$9)</f>
        <v>0.106270658815794</v>
      </c>
      <c r="G102" s="51" t="n">
        <v>0.01</v>
      </c>
      <c r="H102" s="130" t="n">
        <f aca="false">10*POWER(B102,-2.05)</f>
        <v>2.52769191542726E-005</v>
      </c>
      <c r="I102" s="55" t="n">
        <f aca="false">0.0000000016*B102*B102*H102</f>
        <v>1.16842558790625E-008</v>
      </c>
      <c r="J102" s="51" t="n">
        <f aca="false">H102*6.5*C102*F102*G102</f>
        <v>0.000864283193424471</v>
      </c>
      <c r="K102" s="59" t="n">
        <f aca="false">'Calculs lentille'!N91</f>
        <v>8.52979925198073E-006</v>
      </c>
      <c r="L102" s="132" t="n">
        <v>0.3</v>
      </c>
      <c r="M102" s="133" t="n">
        <f aca="false">4.29/0.3/SQRT(J102)</f>
        <v>486.416169645897</v>
      </c>
    </row>
    <row r="103" customFormat="false" ht="12" hidden="false" customHeight="false" outlineLevel="0" collapsed="false">
      <c r="A103" s="1"/>
      <c r="B103" s="50" t="n">
        <f aca="false">B102+6.5</f>
        <v>544</v>
      </c>
      <c r="C103" s="94" t="n">
        <f aca="false">C102-215</f>
        <v>4735</v>
      </c>
      <c r="D103" s="52" t="n">
        <v>0.08434</v>
      </c>
      <c r="E103" s="58" t="n">
        <v>0.08669</v>
      </c>
      <c r="F103" s="51" t="n">
        <f aca="false">1-EXP(-D103*$C$6*$C$8)*EXP(-E103*$C$7*$C$9)</f>
        <v>0.105321550890588</v>
      </c>
      <c r="G103" s="51" t="n">
        <v>0.01</v>
      </c>
      <c r="H103" s="130" t="n">
        <f aca="false">10*POWER(B103,-2.05)</f>
        <v>2.46616571378259E-005</v>
      </c>
      <c r="I103" s="55" t="n">
        <f aca="false">0.0000000016*B103*B103*H103</f>
        <v>1.16772354667835E-008</v>
      </c>
      <c r="J103" s="51" t="n">
        <f aca="false">H103*6.5*C103*F103*G103</f>
        <v>0.000799416009109744</v>
      </c>
      <c r="K103" s="59" t="n">
        <f aca="false">'Calculs lentille'!N92</f>
        <v>8.48378426385564E-006</v>
      </c>
      <c r="L103" s="132" t="n">
        <v>0.3</v>
      </c>
      <c r="M103" s="133" t="n">
        <f aca="false">4.29/0.3/SQRT(J103)</f>
        <v>505.765983954488</v>
      </c>
    </row>
    <row r="104" customFormat="false" ht="12" hidden="false" customHeight="false" outlineLevel="0" collapsed="false">
      <c r="A104" s="1"/>
      <c r="B104" s="50" t="n">
        <f aca="false">B103+6.5</f>
        <v>550.5</v>
      </c>
      <c r="C104" s="94" t="n">
        <f aca="false">C103-215</f>
        <v>4520</v>
      </c>
      <c r="D104" s="52" t="n">
        <v>0.0839</v>
      </c>
      <c r="E104" s="58" t="n">
        <v>0.08588</v>
      </c>
      <c r="F104" s="51" t="n">
        <f aca="false">1-EXP(-D104*$C$6*$C$8)*EXP(-E104*$C$7*$C$9)</f>
        <v>0.104404751810344</v>
      </c>
      <c r="G104" s="51" t="n">
        <v>0.01</v>
      </c>
      <c r="H104" s="130" t="n">
        <f aca="false">10*POWER(B104,-2.05)</f>
        <v>2.40684147786484E-005</v>
      </c>
      <c r="I104" s="55" t="n">
        <f aca="false">0.0000000016*B104*B104*H104</f>
        <v>1.16703025852369E-008</v>
      </c>
      <c r="J104" s="51" t="n">
        <f aca="false">H104*6.5*C104*F104*G104</f>
        <v>0.000738277348827072</v>
      </c>
      <c r="K104" s="59" t="n">
        <f aca="false">'Calculs lentille'!N93</f>
        <v>8.43855966806998E-006</v>
      </c>
      <c r="L104" s="132" t="n">
        <v>0.3</v>
      </c>
      <c r="M104" s="133" t="n">
        <f aca="false">4.29/0.3/SQRT(J104)</f>
        <v>526.291390422583</v>
      </c>
    </row>
    <row r="105" customFormat="false" ht="12" hidden="false" customHeight="false" outlineLevel="0" collapsed="false">
      <c r="A105" s="1"/>
      <c r="B105" s="50" t="n">
        <f aca="false">B104+6.5</f>
        <v>557</v>
      </c>
      <c r="C105" s="94" t="n">
        <f aca="false">C104-215</f>
        <v>4305</v>
      </c>
      <c r="D105" s="52" t="n">
        <v>0.08347</v>
      </c>
      <c r="E105" s="58" t="n">
        <v>0.0851</v>
      </c>
      <c r="F105" s="51" t="n">
        <f aca="false">1-EXP(-D105*$C$6*$C$8)*EXP(-E105*$C$7*$C$9)</f>
        <v>0.103520766342007</v>
      </c>
      <c r="G105" s="51" t="n">
        <v>0.01</v>
      </c>
      <c r="H105" s="130" t="n">
        <f aca="false">10*POWER(B105,-2.05)</f>
        <v>2.34961577811291E-005</v>
      </c>
      <c r="I105" s="55" t="n">
        <f aca="false">0.0000000016*B105*B105*H105</f>
        <v>1.16634551287E-008</v>
      </c>
      <c r="J105" s="51" t="n">
        <f aca="false">H105*6.5*C105*F105*G105</f>
        <v>0.000680629613141227</v>
      </c>
      <c r="K105" s="59" t="n">
        <f aca="false">'Calculs lentille'!N94</f>
        <v>8.39410279352971E-006</v>
      </c>
      <c r="L105" s="132" t="n">
        <v>0.3</v>
      </c>
      <c r="M105" s="133" t="n">
        <f aca="false">4.29/0.3/SQRT(J105)</f>
        <v>548.126270220106</v>
      </c>
    </row>
    <row r="106" customFormat="false" ht="12" hidden="false" customHeight="false" outlineLevel="0" collapsed="false">
      <c r="A106" s="1"/>
      <c r="B106" s="50" t="n">
        <f aca="false">B105+6.5</f>
        <v>563.5</v>
      </c>
      <c r="C106" s="94" t="n">
        <f aca="false">C105-215</f>
        <v>4090</v>
      </c>
      <c r="D106" s="52" t="n">
        <v>0.08305</v>
      </c>
      <c r="E106" s="58" t="n">
        <v>0.08434</v>
      </c>
      <c r="F106" s="51" t="n">
        <f aca="false">1-EXP(-D106*$C$6*$C$8)*EXP(-E106*$C$7*$C$9)</f>
        <v>0.102658566504737</v>
      </c>
      <c r="G106" s="51" t="n">
        <v>0.01</v>
      </c>
      <c r="H106" s="130" t="n">
        <f aca="false">10*POWER(B106,-2.05)</f>
        <v>2.29439117324785E-005</v>
      </c>
      <c r="I106" s="55" t="n">
        <f aca="false">0.0000000016*B106*B106*H106</f>
        <v>1.16566910659445E-008</v>
      </c>
      <c r="J106" s="51" t="n">
        <f aca="false">H106*6.5*C106*F106*G106</f>
        <v>0.000626180189169072</v>
      </c>
      <c r="K106" s="59" t="n">
        <f aca="false">'Calculs lentille'!N95</f>
        <v>8.35039187425408E-006</v>
      </c>
      <c r="L106" s="132" t="n">
        <v>0.3</v>
      </c>
      <c r="M106" s="133" t="n">
        <f aca="false">4.29/0.3/SQRT(J106)</f>
        <v>571.460709074533</v>
      </c>
    </row>
    <row r="107" customFormat="false" ht="12" hidden="false" customHeight="false" outlineLevel="0" collapsed="false">
      <c r="A107" s="1"/>
      <c r="B107" s="50" t="n">
        <f aca="false">B106+6.5</f>
        <v>570</v>
      </c>
      <c r="C107" s="94" t="n">
        <f aca="false">C106-215</f>
        <v>3875</v>
      </c>
      <c r="D107" s="52" t="n">
        <v>0.08263</v>
      </c>
      <c r="E107" s="58" t="n">
        <v>0.08359</v>
      </c>
      <c r="F107" s="51" t="n">
        <f aca="false">1-EXP(-D107*$C$6*$C$8)*EXP(-E107*$C$7*$C$9)</f>
        <v>0.101806675102538</v>
      </c>
      <c r="G107" s="51" t="n">
        <v>0.01</v>
      </c>
      <c r="H107" s="130" t="n">
        <f aca="false">10*POWER(B107,-2.05)</f>
        <v>2.24107579962632E-005</v>
      </c>
      <c r="I107" s="55" t="n">
        <f aca="false">0.0000000016*B107*B107*H107</f>
        <v>1.16500084367774E-008</v>
      </c>
      <c r="J107" s="51" t="n">
        <f aca="false">H107*6.5*C107*F107*G107</f>
        <v>0.000574669123453283</v>
      </c>
      <c r="K107" s="59" t="n">
        <f aca="false">'Calculs lentille'!N96</f>
        <v>8.3074060032991E-006</v>
      </c>
      <c r="L107" s="132" t="n">
        <v>0.3</v>
      </c>
      <c r="M107" s="133" t="n">
        <f aca="false">4.29/0.3/SQRT(J107)</f>
        <v>596.52287971015</v>
      </c>
    </row>
    <row r="108" customFormat="false" ht="12" hidden="false" customHeight="false" outlineLevel="0" collapsed="false">
      <c r="A108" s="1"/>
      <c r="B108" s="50" t="n">
        <f aca="false">B107+6.5</f>
        <v>576.5</v>
      </c>
      <c r="C108" s="94" t="n">
        <f aca="false">C107-215</f>
        <v>3660</v>
      </c>
      <c r="D108" s="52" t="n">
        <v>0.08222</v>
      </c>
      <c r="E108" s="58" t="n">
        <v>0.08287</v>
      </c>
      <c r="F108" s="51" t="n">
        <f aca="false">1-EXP(-D108*$C$6*$C$8)*EXP(-E108*$C$7*$C$9)</f>
        <v>0.100987823402583</v>
      </c>
      <c r="G108" s="51" t="n">
        <v>0.01</v>
      </c>
      <c r="H108" s="130" t="n">
        <f aca="false">10*POWER(B108,-2.05)</f>
        <v>2.18958299304053E-005</v>
      </c>
      <c r="I108" s="55" t="n">
        <f aca="false">0.0000000016*B108*B108*H108</f>
        <v>1.16434053487801E-008</v>
      </c>
      <c r="J108" s="51" t="n">
        <f aca="false">H108*6.5*C108*F108*G108</f>
        <v>0.000526047383870385</v>
      </c>
      <c r="K108" s="59" t="n">
        <f aca="false">'Calculs lentille'!N97</f>
        <v>8.26512508952117E-006</v>
      </c>
      <c r="L108" s="132" t="n">
        <v>0.3</v>
      </c>
      <c r="M108" s="133" t="n">
        <f aca="false">4.29/0.3/SQRT(J108)</f>
        <v>623.481547844042</v>
      </c>
    </row>
    <row r="109" customFormat="false" ht="12" hidden="false" customHeight="false" outlineLevel="0" collapsed="false">
      <c r="A109" s="1"/>
      <c r="B109" s="50" t="n">
        <f aca="false">B108+6.5</f>
        <v>583</v>
      </c>
      <c r="C109" s="94" t="n">
        <f aca="false">C108-215</f>
        <v>3445</v>
      </c>
      <c r="D109" s="52" t="n">
        <v>0.08181</v>
      </c>
      <c r="E109" s="58" t="n">
        <v>0.08217</v>
      </c>
      <c r="F109" s="51" t="n">
        <f aca="false">1-EXP(-D109*$C$6*$C$8)*EXP(-E109*$C$7*$C$9)</f>
        <v>0.100190540735236</v>
      </c>
      <c r="G109" s="51" t="n">
        <v>0.01</v>
      </c>
      <c r="H109" s="130" t="n">
        <f aca="false">10*POWER(B109,-2.05)</f>
        <v>2.13983094006991E-005</v>
      </c>
      <c r="I109" s="55" t="n">
        <f aca="false">0.0000000016*B109*B109*H109</f>
        <v>1.16368799742307E-008</v>
      </c>
      <c r="J109" s="51" t="n">
        <f aca="false">H109*6.5*C109*F109*G109</f>
        <v>0.000480074641373181</v>
      </c>
      <c r="K109" s="59" t="n">
        <f aca="false">'Calculs lentille'!N98</f>
        <v>8.22352981697616E-006</v>
      </c>
      <c r="L109" s="132" t="n">
        <v>0.3</v>
      </c>
      <c r="M109" s="133" t="n">
        <f aca="false">4.29/0.3/SQRT(J109)</f>
        <v>652.651971708551</v>
      </c>
    </row>
    <row r="110" customFormat="false" ht="12" hidden="false" customHeight="false" outlineLevel="0" collapsed="false">
      <c r="A110" s="1"/>
      <c r="B110" s="50" t="n">
        <f aca="false">B109+6.5</f>
        <v>589.5</v>
      </c>
      <c r="C110" s="94" t="n">
        <f aca="false">C109-215</f>
        <v>3230</v>
      </c>
      <c r="D110" s="52" t="n">
        <v>0.08141</v>
      </c>
      <c r="E110" s="58" t="n">
        <v>0.08149</v>
      </c>
      <c r="F110" s="51" t="n">
        <f aca="false">1-EXP(-D110*$C$6*$C$8)*EXP(-E110*$C$7*$C$9)</f>
        <v>0.0994152910543191</v>
      </c>
      <c r="G110" s="51" t="n">
        <v>0.01</v>
      </c>
      <c r="H110" s="130" t="n">
        <f aca="false">10*POWER(B110,-2.05)</f>
        <v>2.09174235637664E-005</v>
      </c>
      <c r="I110" s="55" t="n">
        <f aca="false">0.0000000016*B110*B110*H110</f>
        <v>1.16304305472006E-008</v>
      </c>
      <c r="J110" s="51" t="n">
        <f aca="false">H110*6.5*C110*F110*G110</f>
        <v>0.00043659349226906</v>
      </c>
      <c r="K110" s="59" t="n">
        <f aca="false">'Calculs lentille'!N99</f>
        <v>8.1826016067658E-006</v>
      </c>
      <c r="L110" s="132" t="n">
        <v>0.3</v>
      </c>
      <c r="M110" s="133" t="n">
        <f aca="false">4.29/0.3/SQRT(J110)</f>
        <v>684.380156086227</v>
      </c>
    </row>
    <row r="111" customFormat="false" ht="12" hidden="false" customHeight="false" outlineLevel="0" collapsed="false">
      <c r="A111" s="1"/>
      <c r="B111" s="50" t="n">
        <f aca="false">B110+6.5</f>
        <v>596</v>
      </c>
      <c r="C111" s="94" t="n">
        <f aca="false">C110-215</f>
        <v>3015</v>
      </c>
      <c r="D111" s="52" t="n">
        <v>0.08102</v>
      </c>
      <c r="E111" s="58" t="n">
        <v>0.08082</v>
      </c>
      <c r="F111" s="51" t="n">
        <f aca="false">1-EXP(-D111*$C$6*$C$8)*EXP(-E111*$C$7*$C$9)</f>
        <v>0.0986509558504408</v>
      </c>
      <c r="G111" s="51" t="n">
        <v>0.01</v>
      </c>
      <c r="H111" s="130" t="n">
        <f aca="false">10*POWER(B111,-2.05)</f>
        <v>2.04524418959338E-005</v>
      </c>
      <c r="I111" s="55" t="n">
        <f aca="false">0.0000000016*B111*B111*H111</f>
        <v>1.16240553608097E-008</v>
      </c>
      <c r="J111" s="51" t="n">
        <f aca="false">H111*6.5*C111*F111*G111</f>
        <v>0.000395409535408295</v>
      </c>
      <c r="K111" s="59" t="n">
        <f aca="false">'Calculs lentille'!N100</f>
        <v>8.14232258115877E-006</v>
      </c>
      <c r="L111" s="132" t="n">
        <v>0.3</v>
      </c>
      <c r="M111" s="133" t="n">
        <f aca="false">4.29/0.3/SQRT(J111)</f>
        <v>719.138381541484</v>
      </c>
    </row>
    <row r="112" customFormat="false" ht="12" hidden="false" customHeight="false" outlineLevel="0" collapsed="false">
      <c r="A112" s="1"/>
      <c r="B112" s="50" t="n">
        <f aca="false">B111+6.5</f>
        <v>602.5</v>
      </c>
      <c r="C112" s="94" t="n">
        <f aca="false">C111-215</f>
        <v>2800</v>
      </c>
      <c r="D112" s="52" t="n">
        <v>0.08063</v>
      </c>
      <c r="E112" s="58" t="n">
        <v>0.08017</v>
      </c>
      <c r="F112" s="51" t="n">
        <f aca="false">1-EXP(-D112*$C$6*$C$8)*EXP(-E112*$C$7*$C$9)</f>
        <v>0.0979083440981492</v>
      </c>
      <c r="G112" s="51" t="n">
        <v>0.01</v>
      </c>
      <c r="H112" s="130" t="n">
        <f aca="false">10*POWER(B112,-2.05)</f>
        <v>2.00026734467964E-005</v>
      </c>
      <c r="I112" s="55" t="n">
        <f aca="false">0.0000000016*B112*B112*H112</f>
        <v>1.16177527646338E-008</v>
      </c>
      <c r="J112" s="51" t="n">
        <f aca="false">H112*6.5*C112*F112*G112</f>
        <v>0.000356434011517558</v>
      </c>
      <c r="K112" s="59" t="n">
        <f aca="false">'Calculs lentille'!N101</f>
        <v>8.10267552982766E-006</v>
      </c>
      <c r="L112" s="132" t="n">
        <v>0.3</v>
      </c>
      <c r="M112" s="133" t="n">
        <f aca="false">4.29/0.3/SQRT(J112)</f>
        <v>757.436916489327</v>
      </c>
    </row>
    <row r="113" customFormat="false" ht="12" hidden="false" customHeight="false" outlineLevel="0" collapsed="false">
      <c r="A113" s="1"/>
      <c r="B113" s="50" t="n">
        <f aca="false">B112+6.5</f>
        <v>609</v>
      </c>
      <c r="C113" s="94" t="n">
        <f aca="false">C112-215</f>
        <v>2585</v>
      </c>
      <c r="D113" s="52" t="n">
        <v>0.08024</v>
      </c>
      <c r="E113" s="58" t="n">
        <v>0.07954</v>
      </c>
      <c r="F113" s="51" t="n">
        <f aca="false">1-EXP(-D113*$C$6*$C$8)*EXP(-E113*$C$7*$C$9)</f>
        <v>0.0971875105434211</v>
      </c>
      <c r="G113" s="51" t="n">
        <v>0.01</v>
      </c>
      <c r="H113" s="130" t="n">
        <f aca="false">10*POWER(B113,-2.05)</f>
        <v>1.95674642982713E-005</v>
      </c>
      <c r="I113" s="55" t="n">
        <f aca="false">0.0000000016*B113*B113*H113</f>
        <v>1.16115211622514E-008</v>
      </c>
      <c r="J113" s="51" t="n">
        <f aca="false">H113*6.5*C113*F113*G113</f>
        <v>0.000319535350818341</v>
      </c>
      <c r="K113" s="59" t="n">
        <f aca="false">'Calculs lentille'!N102</f>
        <v>8.0636438780558E-006</v>
      </c>
      <c r="L113" s="132" t="n">
        <v>0.3</v>
      </c>
      <c r="M113" s="133" t="n">
        <f aca="false">4.29/0.3/SQRT(J113)</f>
        <v>799.975306490837</v>
      </c>
    </row>
    <row r="114" customFormat="false" ht="12" hidden="false" customHeight="false" outlineLevel="0" collapsed="false">
      <c r="A114" s="1"/>
      <c r="B114" s="50" t="n">
        <f aca="false">B113+6.5</f>
        <v>615.5</v>
      </c>
      <c r="C114" s="94" t="n">
        <f aca="false">C113-215</f>
        <v>2370</v>
      </c>
      <c r="D114" s="52" t="n">
        <v>0.07986</v>
      </c>
      <c r="E114" s="58" t="n">
        <v>0.07892</v>
      </c>
      <c r="F114" s="51" t="n">
        <f aca="false">1-EXP(-D114*$C$6*$C$8)*EXP(-E114*$C$7*$C$9)</f>
        <v>0.0964777113288892</v>
      </c>
      <c r="G114" s="51" t="n">
        <v>0.01</v>
      </c>
      <c r="H114" s="130" t="n">
        <f aca="false">10*POWER(B114,-2.05)</f>
        <v>1.91461952117716E-005</v>
      </c>
      <c r="I114" s="55" t="n">
        <f aca="false">0.0000000016*B114*B114*H114</f>
        <v>1.16053590089222E-008</v>
      </c>
      <c r="J114" s="51" t="n">
        <f aca="false">H114*6.5*C114*F114*G114</f>
        <v>0.000284558247636665</v>
      </c>
      <c r="K114" s="59" t="n">
        <f aca="false">'Calculs lentille'!N103</f>
        <v>8.02521165677933E-006</v>
      </c>
      <c r="L114" s="132" t="n">
        <v>0.3</v>
      </c>
      <c r="M114" s="133" t="n">
        <f aca="false">4.29/0.3/SQRT(J114)</f>
        <v>847.716133493732</v>
      </c>
    </row>
    <row r="115" customFormat="false" ht="12" hidden="false" customHeight="false" outlineLevel="0" collapsed="false">
      <c r="A115" s="1"/>
      <c r="B115" s="50" t="n">
        <f aca="false">B114+6.5</f>
        <v>622</v>
      </c>
      <c r="C115" s="94" t="n">
        <f aca="false">C114-215</f>
        <v>2155</v>
      </c>
      <c r="D115" s="52" t="n">
        <v>0.07949</v>
      </c>
      <c r="E115" s="58" t="n">
        <v>0.07832</v>
      </c>
      <c r="F115" s="51" t="n">
        <f aca="false">1-EXP(-D115*$C$6*$C$8)*EXP(-E115*$C$7*$C$9)</f>
        <v>0.0957901856499571</v>
      </c>
      <c r="G115" s="51" t="n">
        <v>0.01</v>
      </c>
      <c r="H115" s="130" t="n">
        <f aca="false">10*POWER(B115,-2.05)</f>
        <v>1.87382794477616E-005</v>
      </c>
      <c r="I115" s="55" t="n">
        <f aca="false">0.0000000016*B115*B115*H115</f>
        <v>1.15992648093885E-008</v>
      </c>
      <c r="J115" s="51" t="n">
        <f aca="false">H115*6.5*C115*F115*G115</f>
        <v>0.00025142667813369</v>
      </c>
      <c r="K115" s="59" t="n">
        <f aca="false">'Calculs lentille'!N104</f>
        <v>7.98736347434036E-006</v>
      </c>
      <c r="L115" s="132" t="n">
        <v>0.3</v>
      </c>
      <c r="M115" s="133" t="n">
        <f aca="false">4.29/0.3/SQRT(J115)</f>
        <v>901.841795666689</v>
      </c>
    </row>
    <row r="116" customFormat="false" ht="12" hidden="false" customHeight="false" outlineLevel="0" collapsed="false">
      <c r="A116" s="1"/>
      <c r="B116" s="50" t="n">
        <f aca="false">B115+6.5</f>
        <v>628.5</v>
      </c>
      <c r="C116" s="94" t="n">
        <f aca="false">C115-215</f>
        <v>1940</v>
      </c>
      <c r="D116" s="52" t="n">
        <v>0.07912</v>
      </c>
      <c r="E116" s="58" t="n">
        <v>0.07773</v>
      </c>
      <c r="F116" s="51" t="n">
        <f aca="false">1-EXP(-D116*$C$6*$C$8)*EXP(-E116*$C$7*$C$9)</f>
        <v>0.0951133574696051</v>
      </c>
      <c r="G116" s="51" t="n">
        <v>0.01</v>
      </c>
      <c r="H116" s="130" t="n">
        <f aca="false">10*POWER(B116,-2.05)</f>
        <v>1.83431607434213E-005</v>
      </c>
      <c r="I116" s="55" t="n">
        <f aca="false">0.0000000016*B116*B116*H116</f>
        <v>1.15932371157929E-008</v>
      </c>
      <c r="J116" s="51" t="n">
        <f aca="false">H116*6.5*C116*F116*G116</f>
        <v>0.000220004098179335</v>
      </c>
      <c r="K116" s="59" t="n">
        <f aca="false">'Calculs lentille'!N105</f>
        <v>7.95008448983698E-006</v>
      </c>
      <c r="L116" s="132" t="n">
        <v>0.3</v>
      </c>
      <c r="M116" s="133" t="n">
        <f aca="false">4.29/0.3/SQRT(J116)</f>
        <v>964.096823724072</v>
      </c>
    </row>
    <row r="117" customFormat="false" ht="12" hidden="false" customHeight="false" outlineLevel="0" collapsed="false">
      <c r="A117" s="1"/>
      <c r="B117" s="50" t="n">
        <f aca="false">B116+6.5</f>
        <v>635</v>
      </c>
      <c r="C117" s="94" t="n">
        <f aca="false">C116-215</f>
        <v>1725</v>
      </c>
      <c r="D117" s="52" t="n">
        <v>0.07876</v>
      </c>
      <c r="E117" s="58" t="n">
        <v>0.07716</v>
      </c>
      <c r="F117" s="51" t="n">
        <f aca="false">1-EXP(-D117*$C$6*$C$8)*EXP(-E117*$C$7*$C$9)</f>
        <v>0.0944588878648027</v>
      </c>
      <c r="G117" s="51" t="n">
        <v>0.01</v>
      </c>
      <c r="H117" s="130" t="n">
        <f aca="false">10*POWER(B117,-2.05)</f>
        <v>1.79603114354625E-005</v>
      </c>
      <c r="I117" s="55" t="n">
        <f aca="false">0.0000000016*B117*B117*H117</f>
        <v>1.1587274525703E-008</v>
      </c>
      <c r="J117" s="51" t="n">
        <f aca="false">H117*6.5*C117*F117*G117</f>
        <v>0.000190221300797208</v>
      </c>
      <c r="K117" s="59" t="n">
        <f aca="false">'Calculs lentille'!N106</f>
        <v>7.91336038796416E-006</v>
      </c>
      <c r="L117" s="132" t="n">
        <v>0.3</v>
      </c>
      <c r="M117" s="133" t="n">
        <f aca="false">4.29/0.3/SQRT(J117)</f>
        <v>1036.82739566932</v>
      </c>
    </row>
    <row r="118" customFormat="false" ht="12" hidden="false" customHeight="false" outlineLevel="0" collapsed="false">
      <c r="A118" s="1"/>
      <c r="B118" s="50" t="n">
        <f aca="false">B117+6.5</f>
        <v>641.5</v>
      </c>
      <c r="C118" s="94" t="n">
        <f aca="false">C117-215</f>
        <v>1510</v>
      </c>
      <c r="D118" s="52" t="n">
        <v>0.0784</v>
      </c>
      <c r="E118" s="58" t="n">
        <v>0.0766</v>
      </c>
      <c r="F118" s="51" t="n">
        <f aca="false">1-EXP(-D118*$C$6*$C$8)*EXP(-E118*$C$7*$C$9)</f>
        <v>0.0938151816687949</v>
      </c>
      <c r="G118" s="51" t="n">
        <v>0.01</v>
      </c>
      <c r="H118" s="130" t="n">
        <f aca="false">10*POWER(B118,-2.05)</f>
        <v>1.758923071632E-005</v>
      </c>
      <c r="I118" s="55" t="n">
        <f aca="false">0.0000000016*B118*B118*H118</f>
        <v>1.15813756802386E-008</v>
      </c>
      <c r="J118" s="51" t="n">
        <f aca="false">H118*6.5*C118*F118*G118</f>
        <v>0.000161960934287719</v>
      </c>
      <c r="K118" s="59" t="n">
        <f aca="false">'Calculs lentille'!N107</f>
        <v>7.8771773552479E-006</v>
      </c>
      <c r="L118" s="132" t="n">
        <v>0.3</v>
      </c>
      <c r="M118" s="133" t="n">
        <f aca="false">4.29/0.3/SQRT(J118)</f>
        <v>1123.64959806607</v>
      </c>
    </row>
    <row r="119" customFormat="false" ht="12" hidden="false" customHeight="false" outlineLevel="0" collapsed="false">
      <c r="A119" s="1"/>
      <c r="B119" s="50" t="n">
        <f aca="false">B118+6.5</f>
        <v>648</v>
      </c>
      <c r="C119" s="94" t="n">
        <f aca="false">C118-215</f>
        <v>1295</v>
      </c>
      <c r="D119" s="52" t="n">
        <v>0.07804</v>
      </c>
      <c r="E119" s="58" t="n">
        <v>0.07605</v>
      </c>
      <c r="F119" s="51" t="n">
        <f aca="false">1-EXP(-D119*$C$6*$C$8)*EXP(-E119*$C$7*$C$9)</f>
        <v>0.0931822625022662</v>
      </c>
      <c r="G119" s="51" t="n">
        <v>0.01</v>
      </c>
      <c r="H119" s="130" t="n">
        <f aca="false">10*POWER(B119,-2.05)</f>
        <v>1.72294430130065E-005</v>
      </c>
      <c r="I119" s="55" t="n">
        <f aca="false">0.0000000016*B119*B119*H119</f>
        <v>1.15755392622936E-008</v>
      </c>
      <c r="J119" s="51" t="n">
        <f aca="false">H119*6.5*C119*F119*G119</f>
        <v>0.000135141151189169</v>
      </c>
      <c r="K119" s="59" t="n">
        <f aca="false">'Calculs lentille'!N108</f>
        <v>7.84152205758232E-006</v>
      </c>
      <c r="L119" s="132" t="n">
        <v>0.3</v>
      </c>
      <c r="M119" s="133" t="n">
        <f aca="false">4.29/0.3/SQRT(J119)</f>
        <v>1230.10513208975</v>
      </c>
    </row>
    <row r="120" customFormat="false" ht="12" hidden="false" customHeight="false" outlineLevel="0" collapsed="false">
      <c r="A120" s="1"/>
      <c r="B120" s="50" t="n">
        <f aca="false">B119+6.5</f>
        <v>654.5</v>
      </c>
      <c r="C120" s="94" t="n">
        <f aca="false">C119-215</f>
        <v>1080</v>
      </c>
      <c r="D120" s="52" t="n">
        <v>0.07769</v>
      </c>
      <c r="E120" s="58" t="n">
        <v>0.07552</v>
      </c>
      <c r="F120" s="51" t="n">
        <f aca="false">1-EXP(-D120*$C$6*$C$8)*EXP(-E120*$C$7*$C$9)</f>
        <v>0.092571814128238</v>
      </c>
      <c r="G120" s="51" t="n">
        <v>0.01</v>
      </c>
      <c r="H120" s="130" t="n">
        <f aca="false">10*POWER(B120,-2.05)</f>
        <v>1.68804964788751E-005</v>
      </c>
      <c r="I120" s="55" t="n">
        <f aca="false">0.0000000016*B120*B120*H120</f>
        <v>1.15697639948478E-008</v>
      </c>
      <c r="J120" s="51" t="n">
        <f aca="false">H120*6.5*C120*F120*G120</f>
        <v>0.000109698604406923</v>
      </c>
      <c r="K120" s="59" t="n">
        <f aca="false">'Calculs lentille'!N109</f>
        <v>7.80638161898585E-006</v>
      </c>
      <c r="L120" s="132" t="n">
        <v>0.3</v>
      </c>
      <c r="M120" s="133" t="n">
        <f aca="false">4.29/0.3/SQRT(J120)</f>
        <v>1365.32325113426</v>
      </c>
    </row>
    <row r="121" customFormat="false" ht="12" hidden="false" customHeight="false" outlineLevel="0" collapsed="false">
      <c r="A121" s="1"/>
      <c r="B121" s="50" t="n">
        <f aca="false">B120+6.5</f>
        <v>661</v>
      </c>
      <c r="C121" s="94" t="n">
        <f aca="false">C120-215</f>
        <v>865</v>
      </c>
      <c r="D121" s="95" t="n">
        <v>0.07734</v>
      </c>
      <c r="E121" s="58" t="n">
        <v>0.07499</v>
      </c>
      <c r="F121" s="51" t="n">
        <f aca="false">1-EXP(-D121*$C$6*$C$8)*EXP(-E121*$C$7*$C$9)</f>
        <v>0.091960954814721</v>
      </c>
      <c r="G121" s="51" t="n">
        <v>0.01</v>
      </c>
      <c r="H121" s="130" t="n">
        <f aca="false">10*POWER(B121,-2.05)</f>
        <v>1.6541961589399E-005</v>
      </c>
      <c r="I121" s="55" t="n">
        <f aca="false">0.0000000016*B121*B121*H121</f>
        <v>1.15640486393629E-008</v>
      </c>
      <c r="J121" s="51" t="n">
        <f aca="false">H121*6.5*C121*F121*G121</f>
        <v>8.55302898881067E-005</v>
      </c>
      <c r="K121" s="59" t="n">
        <f aca="false">'Calculs lentille'!N110</f>
        <v>7.77174360149916E-006</v>
      </c>
      <c r="L121" s="132" t="n">
        <v>0.3</v>
      </c>
      <c r="M121" s="133" t="n">
        <f aca="false">4.29/0.3/SQRT(J121)</f>
        <v>1546.23701478674</v>
      </c>
    </row>
    <row r="122" customFormat="false" ht="12" hidden="false" customHeight="false" outlineLevel="0" collapsed="false">
      <c r="A122" s="1"/>
      <c r="B122" s="50" t="n">
        <f aca="false">B121+6.5</f>
        <v>667.5</v>
      </c>
      <c r="C122" s="94" t="n">
        <f aca="false">C121-215</f>
        <v>650</v>
      </c>
      <c r="D122" s="95" t="n">
        <v>0.077</v>
      </c>
      <c r="E122" s="58" t="n">
        <v>0.07448</v>
      </c>
      <c r="F122" s="51" t="n">
        <f aca="false">1-EXP(-D122*$C$6*$C$8)*EXP(-E122*$C$7*$C$9)</f>
        <v>0.0913726274158941</v>
      </c>
      <c r="G122" s="51" t="n">
        <v>0.01</v>
      </c>
      <c r="H122" s="130" t="n">
        <f aca="false">10*POWER(B122,-2.05)</f>
        <v>1.62134298338563E-005</v>
      </c>
      <c r="I122" s="55" t="n">
        <f aca="false">0.0000000016*B122*B122*H122</f>
        <v>1.15583919942578E-008</v>
      </c>
      <c r="J122" s="51" t="n">
        <f aca="false">H122*6.5*C122*F122*G122</f>
        <v>6.25918406212288E-005</v>
      </c>
      <c r="K122" s="59" t="n">
        <f aca="false">'Calculs lentille'!N111</f>
        <v>7.73759598615269E-006</v>
      </c>
      <c r="L122" s="132" t="n">
        <v>0.3</v>
      </c>
      <c r="M122" s="133" t="n">
        <f aca="false">4.29/0.3/SQRT(J122)</f>
        <v>1807.49529719226</v>
      </c>
    </row>
    <row r="123" customFormat="false" ht="12" hidden="false" customHeight="false" outlineLevel="0" collapsed="false">
      <c r="A123" s="1"/>
      <c r="B123" s="50" t="n">
        <f aca="false">B122+6.5</f>
        <v>674</v>
      </c>
      <c r="C123" s="94" t="n">
        <f aca="false">C122-215</f>
        <v>435</v>
      </c>
      <c r="D123" s="95" t="n">
        <v>0.07666</v>
      </c>
      <c r="E123" s="58" t="n">
        <v>0.07398</v>
      </c>
      <c r="F123" s="51" t="n">
        <f aca="false">1-EXP(-D123*$C$6*$C$8)*EXP(-E123*$C$7*$C$9)</f>
        <v>0.0907951930434844</v>
      </c>
      <c r="G123" s="51" t="n">
        <v>0.01</v>
      </c>
      <c r="H123" s="130" t="n">
        <f aca="false">10*POWER(B123,-2.05)</f>
        <v>1.58945124955127E-005</v>
      </c>
      <c r="I123" s="55" t="n">
        <f aca="false">0.0000000016*B123*B123*H123</f>
        <v>1.15527928934584E-008</v>
      </c>
      <c r="J123" s="51" t="n">
        <f aca="false">H123*6.5*C123*F123*G123</f>
        <v>4.08049342159897E-005</v>
      </c>
      <c r="K123" s="59" t="n">
        <f aca="false">'Calculs lentille'!N112</f>
        <v>7.70392715493736E-006</v>
      </c>
      <c r="L123" s="132" t="n">
        <v>0.3</v>
      </c>
      <c r="M123" s="133" t="n">
        <f aca="false">4.29/0.3/SQRT(J123)</f>
        <v>2238.61647931463</v>
      </c>
    </row>
    <row r="124" customFormat="false" ht="12" hidden="false" customHeight="false" outlineLevel="0" collapsed="false">
      <c r="A124" s="1"/>
      <c r="B124" s="50" t="n">
        <f aca="false">B123+6.5</f>
        <v>680.5</v>
      </c>
      <c r="C124" s="94" t="n">
        <f aca="false">C123-215</f>
        <v>220</v>
      </c>
      <c r="D124" s="95" t="n">
        <v>0.07633</v>
      </c>
      <c r="E124" s="58" t="n">
        <v>0.07349</v>
      </c>
      <c r="F124" s="51" t="n">
        <f aca="false">1-EXP(-D124*$C$6*$C$8)*EXP(-E124*$C$7*$C$9)</f>
        <v>0.0902290823418692</v>
      </c>
      <c r="G124" s="51" t="n">
        <v>0.01</v>
      </c>
      <c r="H124" s="130" t="n">
        <f aca="false">10*POWER(B124,-2.05)</f>
        <v>1.55848395135314E-005</v>
      </c>
      <c r="I124" s="55" t="n">
        <f aca="false">0.0000000016*B124*B124*H124</f>
        <v>1.15472502050176E-008</v>
      </c>
      <c r="J124" s="51" t="n">
        <f aca="false">H124*6.5*C124*F124*G124</f>
        <v>2.01087424788428E-005</v>
      </c>
      <c r="K124" s="59" t="n">
        <f aca="false">'Calculs lentille'!N113</f>
        <v>7.67072587371619E-006</v>
      </c>
      <c r="L124" s="132" t="n">
        <v>0.3</v>
      </c>
      <c r="M124" s="133" t="n">
        <f aca="false">4.29/0.3/SQRT(J124)</f>
        <v>3188.91968409741</v>
      </c>
    </row>
    <row r="125" customFormat="false" ht="12" hidden="false" customHeight="false" outlineLevel="0" collapsed="false">
      <c r="A125" s="1"/>
      <c r="B125" s="50" t="n">
        <f aca="false">B124+6.5</f>
        <v>687</v>
      </c>
      <c r="C125" s="94" t="n">
        <v>100</v>
      </c>
      <c r="D125" s="95" t="n">
        <v>0.076</v>
      </c>
      <c r="E125" s="58" t="n">
        <v>0.07301</v>
      </c>
      <c r="F125" s="51" t="n">
        <f aca="false">1-EXP(-D125*$C$6*$C$8)*EXP(-E125*$C$7*$C$9)</f>
        <v>0.0896739072684929</v>
      </c>
      <c r="G125" s="51" t="n">
        <v>0.01</v>
      </c>
      <c r="H125" s="130" t="n">
        <f aca="false">10*POWER(B125,-2.05)</f>
        <v>1.52840584204177E-005</v>
      </c>
      <c r="I125" s="55" t="n">
        <f aca="false">0.0000000016*B125*B125*H125</f>
        <v>1.15417628298018E-008</v>
      </c>
      <c r="J125" s="51" t="n">
        <f aca="false">H125*6.5*C125*F125*G125</f>
        <v>8.90877804361197E-006</v>
      </c>
      <c r="K125" s="59" t="n">
        <f aca="false">'Calculs lentille'!N114</f>
        <v>7.63798127601949E-006</v>
      </c>
      <c r="L125" s="132" t="n">
        <v>0.3</v>
      </c>
      <c r="M125" s="133" t="n">
        <f aca="false">4.29/0.3/SQRT(J125)</f>
        <v>4791.00879395552</v>
      </c>
    </row>
    <row r="126" customFormat="false" ht="12" hidden="false" customHeight="false" outlineLevel="0" collapsed="false">
      <c r="A126" s="1"/>
      <c r="B126" s="65" t="n">
        <f aca="false">B125+6.5</f>
        <v>693.5</v>
      </c>
      <c r="C126" s="96" t="n">
        <v>40</v>
      </c>
      <c r="D126" s="68" t="n">
        <v>0.07568</v>
      </c>
      <c r="E126" s="67" t="n">
        <v>0.07254</v>
      </c>
      <c r="F126" s="67" t="n">
        <f aca="false">1-EXP(-D126*$C$6*$C$8)*EXP(-E126*$C$7*$C$9)</f>
        <v>0.0891300981606764</v>
      </c>
      <c r="G126" s="67" t="n">
        <v>0.01</v>
      </c>
      <c r="H126" s="137" t="n">
        <f aca="false">10*POWER(B126,-2.05)</f>
        <v>1.49918333493256E-005</v>
      </c>
      <c r="I126" s="71" t="n">
        <f aca="false">0.0000000016*B126*B126*H126</f>
        <v>1.15363297002395E-008</v>
      </c>
      <c r="J126" s="67" t="n">
        <f aca="false">H126*6.5*C126*F126*G126</f>
        <v>3.47418130288812E-006</v>
      </c>
      <c r="K126" s="59" t="n">
        <f aca="false">'Calculs lentille'!N115</f>
        <v>7.60568284766998E-006</v>
      </c>
      <c r="L126" s="138" t="n">
        <v>0.3</v>
      </c>
      <c r="M126" s="139" t="n">
        <f aca="false">4.29/0.3/SQRT(J126)</f>
        <v>7672.0212683519</v>
      </c>
    </row>
  </sheetData>
  <mergeCells count="7">
    <mergeCell ref="F2:K2"/>
    <mergeCell ref="B14:B15"/>
    <mergeCell ref="H14:H15"/>
    <mergeCell ref="I14:I15"/>
    <mergeCell ref="J14:J15"/>
    <mergeCell ref="K14:K15"/>
    <mergeCell ref="L14:M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4296875" defaultRowHeight="12" zeroHeight="false" outlineLevelRow="0" outlineLevelCol="0"/>
  <cols>
    <col collapsed="false" customWidth="true" hidden="false" outlineLevel="0" max="1" min="1" style="140" width="16.43"/>
    <col collapsed="false" customWidth="false" hidden="false" outlineLevel="0" max="5" min="2" style="140" width="11.43"/>
    <col collapsed="false" customWidth="true" hidden="false" outlineLevel="0" max="11" min="6" style="3" width="10.73"/>
    <col collapsed="false" customWidth="false" hidden="false" outlineLevel="0" max="16384" min="12" style="140" width="11.43"/>
  </cols>
  <sheetData>
    <row r="1" s="140" customFormat="true" ht="12" hidden="false" customHeight="false" outlineLevel="0" collapsed="false">
      <c r="F1" s="3"/>
      <c r="G1" s="3"/>
    </row>
    <row r="2" s="140" customFormat="true" ht="12" hidden="false" customHeight="false" outlineLevel="0" collapsed="false">
      <c r="A2" s="140" t="s">
        <v>119</v>
      </c>
      <c r="B2" s="141" t="s">
        <v>120</v>
      </c>
      <c r="C2" s="141"/>
      <c r="D2" s="141"/>
      <c r="E2" s="141"/>
      <c r="F2" s="3"/>
      <c r="G2" s="3"/>
    </row>
    <row r="3" s="140" customFormat="true" ht="12" hidden="false" customHeight="false" outlineLevel="0" collapsed="false">
      <c r="B3" s="141" t="s">
        <v>121</v>
      </c>
      <c r="C3" s="141"/>
      <c r="D3" s="141"/>
      <c r="E3" s="141"/>
      <c r="F3" s="3"/>
      <c r="G3" s="3"/>
    </row>
    <row r="4" s="140" customFormat="true" ht="12" hidden="false" customHeight="false" outlineLevel="0" collapsed="false">
      <c r="B4" s="141" t="s">
        <v>122</v>
      </c>
      <c r="C4" s="141"/>
      <c r="D4" s="141"/>
      <c r="E4" s="141"/>
      <c r="F4" s="3"/>
      <c r="G4" s="3"/>
      <c r="L4" s="140" t="s">
        <v>83</v>
      </c>
    </row>
    <row r="5" s="140" customFormat="true" ht="12" hidden="false" customHeight="false" outlineLevel="0" collapsed="false">
      <c r="B5" s="141" t="s">
        <v>123</v>
      </c>
      <c r="C5" s="141"/>
      <c r="D5" s="141"/>
      <c r="E5" s="141"/>
      <c r="F5" s="3"/>
      <c r="G5" s="3"/>
    </row>
    <row r="6" s="140" customFormat="true" ht="12" hidden="false" customHeight="false" outlineLevel="0" collapsed="false">
      <c r="B6" s="141" t="s">
        <v>124</v>
      </c>
      <c r="C6" s="141"/>
      <c r="D6" s="141"/>
      <c r="E6" s="141"/>
      <c r="F6" s="3"/>
      <c r="G6" s="3"/>
    </row>
    <row r="7" s="140" customFormat="true" ht="12" hidden="false" customHeight="false" outlineLevel="0" collapsed="false">
      <c r="B7" s="141" t="s">
        <v>125</v>
      </c>
      <c r="C7" s="141"/>
      <c r="D7" s="141"/>
      <c r="E7" s="141"/>
      <c r="F7" s="3"/>
      <c r="G7" s="3"/>
    </row>
    <row r="8" s="140" customFormat="true" ht="12" hidden="false" customHeight="false" outlineLevel="0" collapsed="false">
      <c r="B8" s="141" t="s">
        <v>126</v>
      </c>
      <c r="C8" s="141"/>
      <c r="D8" s="141"/>
      <c r="E8" s="141"/>
      <c r="F8" s="3"/>
      <c r="G8" s="3"/>
      <c r="M8" s="140" t="s">
        <v>127</v>
      </c>
    </row>
    <row r="9" s="140" customFormat="true" ht="12" hidden="false" customHeight="false" outlineLevel="0" collapsed="false">
      <c r="F9" s="3"/>
      <c r="G9" s="3"/>
    </row>
    <row r="10" s="140" customFormat="true" ht="12" hidden="false" customHeight="false" outlineLevel="0" collapsed="false">
      <c r="B10" s="141" t="s">
        <v>128</v>
      </c>
      <c r="C10" s="141"/>
      <c r="D10" s="141"/>
      <c r="E10" s="141"/>
      <c r="F10" s="3"/>
      <c r="G10" s="3"/>
      <c r="K10" s="140" t="s">
        <v>129</v>
      </c>
    </row>
    <row r="11" s="140" customFormat="true" ht="12" hidden="false" customHeight="false" outlineLevel="0" collapsed="false">
      <c r="B11" s="141" t="s">
        <v>130</v>
      </c>
      <c r="C11" s="141"/>
      <c r="D11" s="141"/>
      <c r="E11" s="141"/>
      <c r="F11" s="3"/>
      <c r="G11" s="3"/>
    </row>
    <row r="12" s="140" customFormat="true" ht="12" hidden="false" customHeight="false" outlineLevel="0" collapsed="false">
      <c r="F12" s="3"/>
      <c r="G12" s="3"/>
    </row>
    <row r="13" s="140" customFormat="true" ht="12" hidden="false" customHeight="false" outlineLevel="0" collapsed="false">
      <c r="A13" s="140" t="s">
        <v>131</v>
      </c>
      <c r="B13" s="27" t="s">
        <v>132</v>
      </c>
      <c r="C13" s="27"/>
      <c r="D13" s="141" t="s">
        <v>133</v>
      </c>
      <c r="E13" s="141"/>
      <c r="F13" s="141"/>
      <c r="G13" s="3"/>
    </row>
    <row r="14" s="140" customFormat="true" ht="12" hidden="false" customHeight="false" outlineLevel="0" collapsed="false">
      <c r="B14" s="27" t="s">
        <v>134</v>
      </c>
      <c r="C14" s="27"/>
      <c r="D14" s="141" t="s">
        <v>135</v>
      </c>
      <c r="E14" s="141"/>
      <c r="F14" s="141"/>
      <c r="G14" s="3"/>
    </row>
    <row r="15" s="140" customFormat="true" ht="12" hidden="false" customHeight="false" outlineLevel="0" collapsed="false">
      <c r="B15" s="27" t="s">
        <v>136</v>
      </c>
      <c r="C15" s="27"/>
      <c r="D15" s="27" t="s">
        <v>137</v>
      </c>
      <c r="E15" s="27"/>
      <c r="F15" s="27"/>
      <c r="G15" s="3"/>
    </row>
    <row r="16" s="140" customFormat="true" ht="12" hidden="false" customHeight="false" outlineLevel="0" collapsed="false">
      <c r="B16" s="27" t="s">
        <v>138</v>
      </c>
      <c r="C16" s="27"/>
      <c r="D16" s="141" t="s">
        <v>139</v>
      </c>
      <c r="E16" s="141"/>
      <c r="F16" s="141"/>
      <c r="G16" s="3"/>
      <c r="L16" s="141" t="s">
        <v>140</v>
      </c>
      <c r="M16" s="141"/>
    </row>
    <row r="17" s="140" customFormat="true" ht="12" hidden="false" customHeight="false" outlineLevel="0" collapsed="false">
      <c r="B17" s="27" t="s">
        <v>141</v>
      </c>
      <c r="C17" s="27"/>
      <c r="D17" s="141" t="s">
        <v>142</v>
      </c>
      <c r="E17" s="141"/>
      <c r="F17" s="141"/>
      <c r="G17" s="141"/>
    </row>
    <row r="18" s="140" customFormat="true" ht="12" hidden="false" customHeight="false" outlineLevel="0" collapsed="false">
      <c r="D18" s="141" t="s">
        <v>143</v>
      </c>
      <c r="E18" s="141"/>
      <c r="F18" s="141"/>
      <c r="G18" s="3"/>
    </row>
    <row r="19" s="140" customFormat="true" ht="12" hidden="false" customHeight="false" outlineLevel="0" collapsed="false">
      <c r="F19" s="3"/>
      <c r="G19" s="3"/>
    </row>
    <row r="20" s="140" customFormat="true" ht="12" hidden="false" customHeight="false" outlineLevel="0" collapsed="false">
      <c r="A20" s="140" t="s">
        <v>144</v>
      </c>
      <c r="B20" s="141" t="s">
        <v>145</v>
      </c>
      <c r="C20" s="141"/>
      <c r="D20" s="141"/>
      <c r="E20" s="141"/>
      <c r="F20" s="141"/>
      <c r="G20" s="3"/>
      <c r="K20" s="3"/>
      <c r="M20" s="141" t="s">
        <v>146</v>
      </c>
      <c r="N20" s="141"/>
    </row>
    <row r="21" s="140" customFormat="true" ht="12" hidden="false" customHeight="false" outlineLevel="0" collapsed="false">
      <c r="B21" s="141" t="s">
        <v>147</v>
      </c>
      <c r="C21" s="141"/>
      <c r="D21" s="141"/>
      <c r="E21" s="141"/>
      <c r="F21" s="141"/>
      <c r="G21" s="3"/>
    </row>
    <row r="22" s="140" customFormat="true" ht="12" hidden="false" customHeight="false" outlineLevel="0" collapsed="false">
      <c r="B22" s="141" t="s">
        <v>148</v>
      </c>
      <c r="C22" s="141"/>
      <c r="D22" s="141"/>
      <c r="E22" s="141"/>
      <c r="F22" s="141"/>
      <c r="G22" s="3"/>
    </row>
    <row r="23" s="140" customFormat="true" ht="12" hidden="false" customHeight="false" outlineLevel="0" collapsed="false">
      <c r="B23" s="141" t="s">
        <v>149</v>
      </c>
      <c r="C23" s="141"/>
      <c r="D23" s="141"/>
      <c r="E23" s="141"/>
      <c r="F23" s="141"/>
      <c r="G23" s="141"/>
    </row>
    <row r="24" s="140" customFormat="true" ht="12" hidden="false" customHeight="false" outlineLevel="0" collapsed="false">
      <c r="B24" s="141" t="s">
        <v>150</v>
      </c>
      <c r="C24" s="141"/>
      <c r="D24" s="141"/>
      <c r="E24" s="141"/>
      <c r="F24" s="141"/>
      <c r="G24" s="3"/>
    </row>
    <row r="25" s="140" customFormat="true" ht="12" hidden="false" customHeight="false" outlineLevel="0" collapsed="false">
      <c r="F25" s="3"/>
      <c r="G25" s="3"/>
    </row>
    <row r="26" customFormat="false" ht="12" hidden="false" customHeight="false" outlineLevel="0" collapsed="false">
      <c r="H26" s="140"/>
      <c r="I26" s="140"/>
      <c r="J26" s="140"/>
      <c r="M26" s="141" t="s">
        <v>151</v>
      </c>
      <c r="N26" s="141"/>
    </row>
    <row r="27" s="140" customFormat="true" ht="12" hidden="false" customHeight="false" outlineLevel="0" collapsed="false">
      <c r="A27" s="140" t="s">
        <v>152</v>
      </c>
      <c r="B27" s="141" t="s">
        <v>153</v>
      </c>
      <c r="C27" s="141"/>
      <c r="D27" s="141"/>
      <c r="E27" s="141"/>
      <c r="F27" s="141"/>
      <c r="G27" s="3"/>
    </row>
    <row r="28" s="140" customFormat="true" ht="14.15" hidden="false" customHeight="false" outlineLevel="0" collapsed="false">
      <c r="B28" s="142" t="s">
        <v>154</v>
      </c>
      <c r="C28" s="142"/>
      <c r="D28" s="142"/>
      <c r="E28" s="142"/>
      <c r="F28" s="142"/>
      <c r="G28" s="3"/>
    </row>
    <row r="29" s="140" customFormat="true" ht="12" hidden="false" customHeight="false" outlineLevel="0" collapsed="false">
      <c r="F29" s="3"/>
      <c r="G29" s="3"/>
    </row>
    <row r="30" s="140" customFormat="true" ht="12" hidden="false" customHeight="false" outlineLevel="0" collapsed="false">
      <c r="F30" s="3"/>
      <c r="G30" s="3"/>
    </row>
    <row r="31" s="140" customFormat="true" ht="12" hidden="false" customHeight="false" outlineLevel="0" collapsed="false">
      <c r="A31" s="140" t="s">
        <v>155</v>
      </c>
      <c r="B31" s="141" t="s">
        <v>156</v>
      </c>
      <c r="C31" s="141"/>
      <c r="D31" s="141"/>
      <c r="E31" s="141"/>
      <c r="F31" s="141"/>
      <c r="G31" s="3"/>
    </row>
    <row r="32" s="140" customFormat="true" ht="12" hidden="false" customHeight="false" outlineLevel="0" collapsed="false">
      <c r="B32" s="141" t="s">
        <v>157</v>
      </c>
      <c r="C32" s="141"/>
      <c r="D32" s="141"/>
      <c r="E32" s="141"/>
      <c r="F32" s="141"/>
      <c r="G32" s="3"/>
      <c r="K32" s="3"/>
      <c r="L32" s="140" t="s">
        <v>158</v>
      </c>
    </row>
    <row r="33" s="140" customFormat="true" ht="12" hidden="false" customHeight="false" outlineLevel="0" collapsed="false">
      <c r="B33" s="141" t="s">
        <v>159</v>
      </c>
      <c r="C33" s="141"/>
      <c r="D33" s="141"/>
      <c r="E33" s="141"/>
      <c r="F33" s="141"/>
      <c r="G33" s="3"/>
    </row>
    <row r="34" s="140" customFormat="true" ht="12" hidden="false" customHeight="false" outlineLevel="0" collapsed="false">
      <c r="B34" s="141" t="s">
        <v>160</v>
      </c>
      <c r="C34" s="141"/>
      <c r="D34" s="141"/>
      <c r="E34" s="141"/>
      <c r="F34" s="141"/>
      <c r="G34" s="3"/>
    </row>
    <row r="35" s="140" customFormat="true" ht="12" hidden="false" customHeight="false" outlineLevel="0" collapsed="false">
      <c r="B35" s="141" t="s">
        <v>161</v>
      </c>
      <c r="C35" s="141"/>
      <c r="D35" s="141"/>
      <c r="E35" s="141"/>
      <c r="F35" s="141"/>
      <c r="G35" s="3"/>
    </row>
    <row r="36" s="140" customFormat="true" ht="12" hidden="false" customHeight="false" outlineLevel="0" collapsed="false">
      <c r="F36" s="3"/>
      <c r="G36" s="3"/>
    </row>
    <row r="37" s="140" customFormat="true" ht="12" hidden="false" customHeight="false" outlineLevel="0" collapsed="false">
      <c r="F37" s="3"/>
      <c r="G37" s="3"/>
    </row>
    <row r="38" s="140" customFormat="true" ht="12" hidden="false" customHeight="false" outlineLevel="0" collapsed="false">
      <c r="F38" s="3"/>
      <c r="G38" s="3"/>
    </row>
    <row r="39" s="140" customFormat="true" ht="12" hidden="false" customHeight="false" outlineLevel="0" collapsed="false">
      <c r="F39" s="3"/>
      <c r="G39" s="3"/>
    </row>
    <row r="40" s="140" customFormat="true" ht="12" hidden="false" customHeight="false" outlineLevel="0" collapsed="false">
      <c r="F40" s="3"/>
      <c r="G40" s="3"/>
    </row>
    <row r="41" s="140" customFormat="true" ht="12" hidden="false" customHeight="false" outlineLevel="0" collapsed="false">
      <c r="F41" s="3"/>
      <c r="G41" s="3"/>
    </row>
    <row r="42" customFormat="false" ht="17.35" hidden="false" customHeight="false" outlineLevel="0" collapsed="false">
      <c r="H42" s="143" t="s">
        <v>162</v>
      </c>
      <c r="I42" s="143"/>
      <c r="J42" s="143"/>
      <c r="K42" s="143"/>
    </row>
    <row r="43" customFormat="false" ht="12" hidden="false" customHeight="false" outlineLevel="0" collapsed="false">
      <c r="H43" s="144" t="s">
        <v>163</v>
      </c>
      <c r="I43" s="144"/>
      <c r="J43" s="144"/>
      <c r="K43" s="144"/>
    </row>
  </sheetData>
  <mergeCells count="37">
    <mergeCell ref="B2:E2"/>
    <mergeCell ref="B3:E3"/>
    <mergeCell ref="B4:E4"/>
    <mergeCell ref="B5:E5"/>
    <mergeCell ref="B6:E6"/>
    <mergeCell ref="B7:E7"/>
    <mergeCell ref="B8:E8"/>
    <mergeCell ref="B10:E10"/>
    <mergeCell ref="B11:E11"/>
    <mergeCell ref="B13:C13"/>
    <mergeCell ref="D13:F13"/>
    <mergeCell ref="B14:C14"/>
    <mergeCell ref="D14:F14"/>
    <mergeCell ref="B15:C15"/>
    <mergeCell ref="D15:F15"/>
    <mergeCell ref="B16:C16"/>
    <mergeCell ref="D16:F16"/>
    <mergeCell ref="L16:M16"/>
    <mergeCell ref="B17:C17"/>
    <mergeCell ref="D17:G17"/>
    <mergeCell ref="D18:F18"/>
    <mergeCell ref="B20:F20"/>
    <mergeCell ref="M20:N20"/>
    <mergeCell ref="B21:F21"/>
    <mergeCell ref="B22:F22"/>
    <mergeCell ref="B23:G23"/>
    <mergeCell ref="B24:F24"/>
    <mergeCell ref="M26:N26"/>
    <mergeCell ref="B27:F27"/>
    <mergeCell ref="B28:F28"/>
    <mergeCell ref="B31:F31"/>
    <mergeCell ref="B32:F32"/>
    <mergeCell ref="B33:F33"/>
    <mergeCell ref="B34:F34"/>
    <mergeCell ref="B35:F35"/>
    <mergeCell ref="H42:K42"/>
    <mergeCell ref="H43:K43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3046875" defaultRowHeight="12" zeroHeight="false" outlineLevelRow="0" outlineLevelCol="0"/>
  <cols>
    <col collapsed="false" customWidth="true" hidden="false" outlineLevel="0" max="1" min="1" style="3" width="13.28"/>
    <col collapsed="false" customWidth="true" hidden="false" outlineLevel="0" max="2" min="2" style="3" width="12.14"/>
    <col collapsed="false" customWidth="true" hidden="false" outlineLevel="0" max="3" min="3" style="3" width="12"/>
  </cols>
  <sheetData>
    <row r="2" customFormat="false" ht="12" hidden="false" customHeight="false" outlineLevel="0" collapsed="false">
      <c r="A2" s="3" t="s">
        <v>164</v>
      </c>
      <c r="B2" s="3" t="n">
        <v>350</v>
      </c>
      <c r="C2" s="3" t="s">
        <v>70</v>
      </c>
    </row>
    <row r="3" customFormat="false" ht="12" hidden="false" customHeight="false" outlineLevel="0" collapsed="false">
      <c r="A3" s="3" t="s">
        <v>165</v>
      </c>
      <c r="B3" s="3" t="n">
        <v>17</v>
      </c>
      <c r="C3" s="3" t="s">
        <v>63</v>
      </c>
    </row>
    <row r="4" customFormat="false" ht="12" hidden="false" customHeight="false" outlineLevel="0" collapsed="false">
      <c r="A4" s="3" t="s">
        <v>166</v>
      </c>
      <c r="B4" s="3" t="n">
        <v>200</v>
      </c>
      <c r="C4" s="3" t="s">
        <v>63</v>
      </c>
    </row>
    <row r="5" customFormat="false" ht="12" hidden="false" customHeight="false" outlineLevel="0" collapsed="false">
      <c r="A5" s="3" t="s">
        <v>167</v>
      </c>
      <c r="B5" s="3" t="n">
        <v>2621</v>
      </c>
      <c r="C5" s="3" t="s">
        <v>42</v>
      </c>
    </row>
    <row r="7" customFormat="false" ht="12" hidden="false" customHeight="false" outlineLevel="0" collapsed="false">
      <c r="A7" s="3" t="s">
        <v>168</v>
      </c>
      <c r="B7" s="145" t="n">
        <f aca="false">$B$2/($B$4-$B$3)/$B$5</f>
        <v>0.00072970938802401</v>
      </c>
      <c r="C7" s="146" t="s">
        <v>169</v>
      </c>
    </row>
    <row r="9" customFormat="false" ht="12" hidden="false" customHeight="false" outlineLevel="0" collapsed="false">
      <c r="A9" s="3" t="s">
        <v>170</v>
      </c>
      <c r="B9" s="3" t="n">
        <v>17</v>
      </c>
      <c r="C9" s="3" t="s">
        <v>63</v>
      </c>
    </row>
    <row r="10" customFormat="false" ht="12" hidden="false" customHeight="false" outlineLevel="0" collapsed="false">
      <c r="A10" s="3" t="s">
        <v>171</v>
      </c>
      <c r="B10" s="3" t="n">
        <v>200</v>
      </c>
      <c r="C10" s="3" t="s">
        <v>63</v>
      </c>
    </row>
    <row r="11" customFormat="false" ht="12" hidden="false" customHeight="false" outlineLevel="0" collapsed="false">
      <c r="B11" s="1"/>
    </row>
    <row r="12" customFormat="false" ht="12" hidden="false" customHeight="false" outlineLevel="0" collapsed="false">
      <c r="A12" s="3" t="s">
        <v>172</v>
      </c>
      <c r="B12" s="77" t="n">
        <f aca="false">$B$7*($B$10-$B$9)</f>
        <v>0.133536818008394</v>
      </c>
      <c r="C12" s="146" t="s">
        <v>173</v>
      </c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  <Company>CEA/SAp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2002-03-10T23:10:28Z</dcterms:created>
  <dc:creator>Philippe Laurent</dc:creator>
  <dc:description/>
  <dc:language>en-US</dc:language>
  <cp:lastModifiedBy/>
  <cp:lastPrinted>2005-06-01T15:17:13Z</cp:lastPrinted>
  <dcterms:modified xsi:type="dcterms:W3CDTF">2026-01-21T17:00:24Z</dcterms:modified>
  <cp:revision>2</cp:revision>
  <dc:subject/>
  <dc:title>sensibilité Simbol-X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